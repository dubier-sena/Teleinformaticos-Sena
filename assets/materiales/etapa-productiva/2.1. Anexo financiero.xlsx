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liana Tunarrosa\Downloads\"/>
    </mc:Choice>
  </mc:AlternateContent>
  <xr:revisionPtr revIDLastSave="0" documentId="8_{E6A628D7-86F6-4912-BC19-0D21AE88852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Financiera" sheetId="1" r:id="rId1"/>
    <sheet name="Viabilidad" sheetId="2" r:id="rId2"/>
  </sheets>
  <externalReferences>
    <externalReference r:id="rId3"/>
  </externalReferences>
  <definedNames>
    <definedName name="_Toc164077167">'[1]7. RECURSOS'!$B$81</definedName>
    <definedName name="Financiamiento">[1]!Tabla12[Estrategia de financiamiento]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7" roundtripDataChecksum="Xwi5ymQdXvDmg3AhSAqML6vTCJyZAAEVpJrCVjOQbkk="/>
    </ext>
  </extLst>
</workbook>
</file>

<file path=xl/calcChain.xml><?xml version="1.0" encoding="utf-8"?>
<calcChain xmlns="http://schemas.openxmlformats.org/spreadsheetml/2006/main">
  <c r="H75" i="2" l="1"/>
  <c r="G75" i="2"/>
  <c r="H74" i="2"/>
  <c r="G74" i="2"/>
  <c r="G73" i="2"/>
  <c r="H73" i="2" s="1"/>
  <c r="H72" i="2"/>
  <c r="G72" i="2"/>
  <c r="H71" i="2"/>
  <c r="G71" i="2"/>
  <c r="H70" i="2"/>
  <c r="G70" i="2"/>
  <c r="G69" i="2"/>
  <c r="H69" i="2" s="1"/>
  <c r="H68" i="2"/>
  <c r="H76" i="2" s="1"/>
  <c r="G68" i="2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H64" i="2" s="1"/>
  <c r="E23" i="1"/>
  <c r="D22" i="1"/>
  <c r="D21" i="1"/>
  <c r="D20" i="1"/>
  <c r="D19" i="1"/>
  <c r="D18" i="1"/>
  <c r="D17" i="1"/>
  <c r="D16" i="1"/>
  <c r="D15" i="1"/>
  <c r="D14" i="1"/>
  <c r="D13" i="1"/>
  <c r="D12" i="1"/>
  <c r="D11" i="1"/>
  <c r="D23" i="1" s="1"/>
  <c r="A33" i="1" l="1"/>
  <c r="A27" i="1"/>
</calcChain>
</file>

<file path=xl/sharedStrings.xml><?xml version="1.0" encoding="utf-8"?>
<sst xmlns="http://schemas.openxmlformats.org/spreadsheetml/2006/main" count="367" uniqueCount="189">
  <si>
    <t>Solo diligenciar las celdas de color amarillo</t>
  </si>
  <si>
    <t>7. RECURSOS</t>
  </si>
  <si>
    <t>7.1. Necesidades y requerimientos</t>
  </si>
  <si>
    <t>Para diligenciar este cuadro, identifica los requerimientos necesarios para poner en marcha y operar el proyecto productivo. En caso de necesitar espacios adicionales, diligencialos al final.</t>
  </si>
  <si>
    <t>Activo, Descripción del requerimiento</t>
  </si>
  <si>
    <t>Valor individual</t>
  </si>
  <si>
    <t>Cantidad</t>
  </si>
  <si>
    <t>Valor total</t>
  </si>
  <si>
    <t>¿Ya se cuenta con el activo? Coloque el valor</t>
  </si>
  <si>
    <t>¿Ya se cuenta con el activo?, explique</t>
  </si>
  <si>
    <t>Comederos plasticos de tolva para ave capacidad de 7 Kg</t>
  </si>
  <si>
    <t>Bebedero Automático Válvula Doble Fin</t>
  </si>
  <si>
    <t>Concentrado Gallina Ponedora Fase Produccion x 40 kg</t>
  </si>
  <si>
    <t>Malla metalica hexagonal 1.80 x 36 mts</t>
  </si>
  <si>
    <t>Tanque de almacenamiento de agua, capacidad de 500 litros con accesorios</t>
  </si>
  <si>
    <t>Teja Plástica Ruralita Trapezoidal</t>
  </si>
  <si>
    <t>Caneca plástica Capacidad de 55 galones con tapa aro</t>
  </si>
  <si>
    <t>Bandeja x 30 huevos Paq 100 uds</t>
  </si>
  <si>
    <t>Tapa protectora bandejas x 30 huevos Paq 140</t>
  </si>
  <si>
    <t>Alambre de Púa Hibrido Calibre 16 x 400 mts</t>
  </si>
  <si>
    <t>Baldes plástico resistente con manija plástica de 12 litros</t>
  </si>
  <si>
    <t>Gallina criolla</t>
  </si>
  <si>
    <t>TOTAL</t>
  </si>
  <si>
    <t>7.2. Valor total del Proyecto</t>
  </si>
  <si>
    <t>Letras:</t>
  </si>
  <si>
    <t>7.3. Valor sobre el que se requiere financiación</t>
  </si>
  <si>
    <t>7.4. Otros requerimientos no financieros</t>
  </si>
  <si>
    <t>Registre aquí otro tipo de necesidades y apoyos que podria gestionar</t>
  </si>
  <si>
    <t>SOCIAL</t>
  </si>
  <si>
    <t xml:space="preserve"> EMPRESARIAL</t>
  </si>
  <si>
    <t>MEDIO AMBIENTE</t>
  </si>
  <si>
    <t>Formación</t>
  </si>
  <si>
    <t>Certificados de capacitación en:
 - Avicultura sostenible
 - Manipulación de alimentos</t>
  </si>
  <si>
    <t>Curso en buenas prácticas avícolas (BPA)</t>
  </si>
  <si>
    <t>Permisos</t>
  </si>
  <si>
    <t>Matrícula mercantil + Registro marca</t>
  </si>
  <si>
    <t>Permiso sanitario para movilización de huevos</t>
  </si>
  <si>
    <t>Licencia ambiental única</t>
  </si>
  <si>
    <t>Registros</t>
  </si>
  <si>
    <t>Inscripción de la asociación comunitaria
 Rut</t>
  </si>
  <si>
    <t>Notificaciones</t>
  </si>
  <si>
    <t>Reporte de vacunación</t>
  </si>
  <si>
    <t>Certificaciones</t>
  </si>
  <si>
    <t>Sello Carbono Neutro (para biodigestores y reforestación)</t>
  </si>
  <si>
    <t>Vigilancia, inspección y control</t>
  </si>
  <si>
    <t>Monitoreo de calidad del agua y alimento para aves</t>
  </si>
  <si>
    <t>Impuestos</t>
  </si>
  <si>
    <t>Normatividad</t>
  </si>
  <si>
    <t>Técnica (Permisos, licencias de funcionamiento, registros, reglamentos)</t>
  </si>
  <si>
    <t>Cumplimiento de uso de suelo rural</t>
  </si>
  <si>
    <t>7.5. Estrategia de financiamiento</t>
  </si>
  <si>
    <t>¿Qué estrategias de financiación interna y externa tiene para completar los requerimientos y necesidades?</t>
  </si>
  <si>
    <t>Tener en cuenta prestamos bancarios, aportes propios, aportes de socios, solicitud de apoyo a entidades</t>
  </si>
  <si>
    <t>Requerimiento</t>
  </si>
  <si>
    <t>Estrategia</t>
  </si>
  <si>
    <t>Interna o externo</t>
  </si>
  <si>
    <t>100 gallinas</t>
  </si>
  <si>
    <t>prestamo banco agrario</t>
  </si>
  <si>
    <t>Externa</t>
  </si>
  <si>
    <t>articulos + 90 gallinas</t>
  </si>
  <si>
    <t>impulso productivo del SENA</t>
  </si>
  <si>
    <t>sostenimiento del proyecto</t>
  </si>
  <si>
    <t>aporte asociados</t>
  </si>
  <si>
    <t>8. FLUJO FINANCIERO</t>
  </si>
  <si>
    <t>8.1 Proyección de ingresos</t>
  </si>
  <si>
    <t>Producto 2</t>
  </si>
  <si>
    <t>Producto 1</t>
  </si>
  <si>
    <t>AÑO 1</t>
  </si>
  <si>
    <t>AÑO 2</t>
  </si>
  <si>
    <t>AÑO 3</t>
  </si>
  <si>
    <t>Precio</t>
  </si>
  <si>
    <t>$ 900</t>
  </si>
  <si>
    <t>$ 945</t>
  </si>
  <si>
    <t>$ 983</t>
  </si>
  <si>
    <t>$ -</t>
  </si>
  <si>
    <t>IPC</t>
  </si>
  <si>
    <t>Nota: Si los precios varían mensualmente organícelo manualmente</t>
  </si>
  <si>
    <t>Unidades</t>
  </si>
  <si>
    <t>Ingresos</t>
  </si>
  <si>
    <t>Mes 1</t>
  </si>
  <si>
    <t>$ 5.400.000</t>
  </si>
  <si>
    <t>$ 7.560.000</t>
  </si>
  <si>
    <t>$ 12.776.400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</si>
  <si>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</si>
  <si>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</si>
  <si>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</si>
  <si>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</si>
  <si>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</si>
  <si>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</si>
  <si>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</si>
  <si>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</si>
  <si>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</si>
  <si>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</si>
  <si>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</si>
  <si>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$ 64.800.000</t>
  </si>
  <si>
    <t>$ 90.720.000</t>
  </si>
  <si>
    <t>$ 153.316.800</t>
  </si>
  <si>
    <t>Consolidado</t>
  </si>
  <si>
    <t>8.2 Proyección de egresos</t>
  </si>
  <si>
    <t xml:space="preserve">COSTOS VARIABLES PARA PRODUCIR 1 UNIDAD DEL PRODUCTO 2 </t>
  </si>
  <si>
    <t>Elemento
(Especificar el elemento)</t>
  </si>
  <si>
    <t>Presentación</t>
  </si>
  <si>
    <t>Unidad de medida</t>
  </si>
  <si>
    <t>Valor unitario</t>
  </si>
  <si>
    <t>Consumo por unidad (la presentacion comprada alcanza para cuantas unidades)</t>
  </si>
  <si>
    <t>razon de consumo cuanto consume una unidad</t>
  </si>
  <si>
    <t>Valor Total</t>
  </si>
  <si>
    <t>comida de gato</t>
  </si>
  <si>
    <t xml:space="preserve">bulto </t>
  </si>
  <si>
    <t>25 kilogramos</t>
  </si>
  <si>
    <t>año 1</t>
  </si>
  <si>
    <t>COSTOS FIJOS AÑO 1</t>
  </si>
  <si>
    <t>COSTOS VARIABLE AÑO 1</t>
  </si>
  <si>
    <t>Elemento
 (Especificar el elemento)</t>
  </si>
  <si>
    <t>Salario Emprendedor</t>
  </si>
  <si>
    <t>$ 400.000</t>
  </si>
  <si>
    <t>$ 4.800.000</t>
  </si>
  <si>
    <t>Materia prima Prod. 1</t>
  </si>
  <si>
    <t>$ 580</t>
  </si>
  <si>
    <t>Servicios públicos</t>
  </si>
  <si>
    <t>$ 30.000</t>
  </si>
  <si>
    <t>$ 360.000</t>
  </si>
  <si>
    <t>Materia prima Prod. 2</t>
  </si>
  <si>
    <t>P 1</t>
  </si>
  <si>
    <t>P 2</t>
  </si>
  <si>
    <t>$ 41.760.000</t>
  </si>
  <si>
    <t>año 2</t>
  </si>
  <si>
    <t>$ 58.464.000</t>
  </si>
  <si>
    <t>año 3</t>
  </si>
  <si>
    <t>$ 94.099.200</t>
  </si>
  <si>
    <t>Los costos variables son los asociados a la materia prima para elaborar nuestro producto o para prestar nuestro servicio.</t>
  </si>
  <si>
    <t>$ 5.160.000</t>
  </si>
  <si>
    <t>$ 5.418.000</t>
  </si>
  <si>
    <t>$ 5.634.720</t>
  </si>
  <si>
    <t>GASTOS DE ADMINISTRACIÓN Y VENTAS</t>
  </si>
  <si>
    <t>Valor Año 1</t>
  </si>
  <si>
    <t>Valor Año 2</t>
  </si>
  <si>
    <t>Valor Año 3</t>
  </si>
  <si>
    <t>Los gastos de administración y ventas son aquellos que no están directamente asociados a la producción o la prestación del servicio pero se requieren en nuestro proyecto.</t>
  </si>
  <si>
    <t>Salario Administrador</t>
  </si>
  <si>
    <t>$ 5.040.000</t>
  </si>
  <si>
    <t>$ 5.241.600</t>
  </si>
  <si>
    <t>Prestaciones Sociales</t>
  </si>
  <si>
    <t>Sistema de seguidad en el trabajo</t>
  </si>
  <si>
    <t>Publicidad</t>
  </si>
  <si>
    <t>$ 200.000</t>
  </si>
  <si>
    <t>$ 210.000</t>
  </si>
  <si>
    <t>$ 218.400</t>
  </si>
  <si>
    <t>Dotaciones</t>
  </si>
  <si>
    <t>Matricula mercantil</t>
  </si>
  <si>
    <t>Seguro todo riesgo</t>
  </si>
  <si>
    <t>Papeleria y material POP</t>
  </si>
  <si>
    <t>$ 5.000.000</t>
  </si>
  <si>
    <t>$ 5.250.000</t>
  </si>
  <si>
    <t>$ 5.460.000</t>
  </si>
  <si>
    <t>Egresos</t>
  </si>
  <si>
    <t>$ 51.920.000</t>
  </si>
  <si>
    <t>$ 69.132.000</t>
  </si>
  <si>
    <t>$ 105.193.920</t>
  </si>
  <si>
    <t>8.3 Flujo de caja</t>
  </si>
  <si>
    <t>P 0</t>
  </si>
  <si>
    <t>Año 1</t>
  </si>
  <si>
    <t>Año 2</t>
  </si>
  <si>
    <t>Año 3</t>
  </si>
  <si>
    <t>$ 17.365.021</t>
  </si>
  <si>
    <t>Flujo de caja neto</t>
  </si>
  <si>
    <t>-$ 17.365.021</t>
  </si>
  <si>
    <t>$ 12.880.000</t>
  </si>
  <si>
    <t>$ 21.588.000</t>
  </si>
  <si>
    <t>$ 48.122.880</t>
  </si>
  <si>
    <t>Saldos</t>
  </si>
  <si>
    <t>-$ 4.485.021</t>
  </si>
  <si>
    <t>$ 17.102.979</t>
  </si>
  <si>
    <t>$ 65.225.859</t>
  </si>
  <si>
    <t>Punto de equilibrio</t>
  </si>
  <si>
    <t>No</t>
  </si>
  <si>
    <t>P.E.</t>
  </si>
  <si>
    <t>8.4 Evaluación</t>
  </si>
  <si>
    <t>PERIODOS</t>
  </si>
  <si>
    <t>__ MESES</t>
  </si>
  <si>
    <t>Tasa de interés de oportunidad TIO</t>
  </si>
  <si>
    <t>EA</t>
  </si>
  <si>
    <t>Tasa de interés de oportunidad mensualizada</t>
  </si>
  <si>
    <t>MV</t>
  </si>
  <si>
    <t>VPN</t>
  </si>
  <si>
    <t>$ 63.356.569,62</t>
  </si>
  <si>
    <t>El valor debe ser positivo</t>
  </si>
  <si>
    <t>TIR</t>
  </si>
  <si>
    <t>La TIR debe ser superior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</si>
</sst>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??_-;_-@"/>
    <numFmt numFmtId="165" formatCode="_-&quot;$&quot;\ * #,##0.00_-;\-&quot;$&quot;\ * #,##0.00_-;_-&quot;$&quot;\ * &quot;-&quot;??_-;_-@"/>
    <numFmt numFmtId="166" formatCode="0.0%"/>
  </numFmts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sz val="11"/>
      <name val="Calibri"/>
    </font>
    <font>
      <b/>
      <sz val="24"/>
      <color rgb="FFFFFFFF"/>
      <name val="Century Gothic"/>
    </font>
    <font>
      <b/>
      <sz val="24"/>
      <color theme="0"/>
      <name val="Century Gothic"/>
    </font>
    <font>
      <sz val="11"/>
      <color theme="1"/>
      <name val="Century Gothic"/>
    </font>
    <font>
      <b/>
      <sz val="24"/>
      <color rgb="FF00B050"/>
      <name val="Century Gothic"/>
    </font>
    <font>
      <sz val="24"/>
      <color rgb="FF00B050"/>
      <name val="Century Gothic"/>
    </font>
    <font>
      <sz val="16"/>
      <color theme="1"/>
      <name val="Century Gothic"/>
    </font>
    <font>
      <i/>
      <sz val="10"/>
      <color theme="1"/>
      <name val="Century Gothic"/>
    </font>
    <font>
      <b/>
      <sz val="12"/>
      <color theme="1"/>
      <name val="Century Gothic"/>
    </font>
    <font>
      <sz val="11"/>
      <color theme="1"/>
      <name val="&quot;Century Gothic&quot;"/>
    </font>
    <font>
      <sz val="11"/>
      <color rgb="FF385623"/>
      <name val="Century Gothic"/>
    </font>
    <font>
      <sz val="12"/>
      <color theme="1"/>
      <name val="Century Gothic"/>
    </font>
    <font>
      <b/>
      <sz val="11"/>
      <color theme="1"/>
      <name val="Century Gothic"/>
    </font>
    <font>
      <sz val="11"/>
      <color rgb="FF000000"/>
      <name val="&quot;Century Gothic&quot;"/>
    </font>
    <font>
      <b/>
      <sz val="12"/>
      <color theme="1"/>
      <name val="&quot;Century Gothic&quot;"/>
    </font>
    <font>
      <b/>
      <sz val="11"/>
      <color rgb="FF000000"/>
      <name val="&quot;Century Gothic&quot;"/>
    </font>
    <font>
      <sz val="11"/>
      <color rgb="FFFFFFFF"/>
      <name val="Century Gothic"/>
    </font>
    <font>
      <sz val="11"/>
      <color rgb="FF000000"/>
      <name val="&quot;Century Gothic&quot;"/>
    </font>
    <font>
      <i/>
      <sz val="11"/>
      <color rgb="FF000000"/>
      <name val="&quot;Century Gothic&quot;"/>
    </font>
    <font>
      <sz val="11"/>
      <color rgb="FFFFFFFF"/>
      <name val="&quot;Century Gothic&quot;"/>
    </font>
    <font>
      <sz val="11"/>
      <color rgb="FF000000"/>
      <name val="&quot;Aptos Narrow&quot;"/>
    </font>
    <font>
      <b/>
      <sz val="14"/>
      <color rgb="FFFFFFFF"/>
      <name val="&quot;Century Gothic&quot;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00D661"/>
        <bgColor rgb="FF00D661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DAF2D0"/>
        <bgColor rgb="FFDAF2D0"/>
      </patternFill>
    </fill>
    <fill>
      <patternFill patternType="solid">
        <fgColor rgb="FFCAEABF"/>
        <bgColor rgb="FFCAEAB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 style="thin">
        <color rgb="FFFFFFFF"/>
      </top>
      <bottom style="thin">
        <color theme="0"/>
      </bottom>
      <diagonal/>
    </border>
    <border>
      <left/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 style="thin">
        <color rgb="FFFFFFFF"/>
      </right>
      <top/>
      <bottom style="double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 style="double">
        <color rgb="FF000000"/>
      </bottom>
      <diagonal/>
    </border>
    <border>
      <left/>
      <right/>
      <top/>
      <bottom style="double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 applyFont="1" applyAlignment="1"/>
    <xf numFmtId="0" fontId="8" fillId="4" borderId="8" xfId="0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/>
    <xf numFmtId="3" fontId="10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164" fontId="10" fillId="4" borderId="8" xfId="0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3" fontId="11" fillId="5" borderId="9" xfId="0" applyNumberFormat="1" applyFont="1" applyFill="1" applyBorder="1" applyAlignment="1">
      <alignment horizontal="center" vertical="center" wrapText="1"/>
    </xf>
    <xf numFmtId="4" fontId="11" fillId="5" borderId="9" xfId="0" applyNumberFormat="1" applyFont="1" applyFill="1" applyBorder="1" applyAlignment="1">
      <alignment horizontal="center" vertical="center" wrapText="1"/>
    </xf>
    <xf numFmtId="164" fontId="11" fillId="5" borderId="9" xfId="0" applyNumberFormat="1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3" fontId="12" fillId="6" borderId="10" xfId="0" applyNumberFormat="1" applyFont="1" applyFill="1" applyBorder="1" applyAlignment="1">
      <alignment horizontal="center"/>
    </xf>
    <xf numFmtId="164" fontId="6" fillId="7" borderId="11" xfId="0" applyNumberFormat="1" applyFont="1" applyFill="1" applyBorder="1" applyAlignment="1">
      <alignment horizontal="right" vertical="center" wrapText="1"/>
    </xf>
    <xf numFmtId="165" fontId="6" fillId="2" borderId="11" xfId="0" applyNumberFormat="1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center"/>
    </xf>
    <xf numFmtId="4" fontId="12" fillId="6" borderId="10" xfId="0" applyNumberFormat="1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 wrapText="1"/>
    </xf>
    <xf numFmtId="164" fontId="6" fillId="7" borderId="12" xfId="0" applyNumberFormat="1" applyFont="1" applyFill="1" applyBorder="1" applyAlignment="1">
      <alignment horizontal="center" vertical="center" wrapText="1"/>
    </xf>
    <xf numFmtId="164" fontId="6" fillId="7" borderId="12" xfId="0" applyNumberFormat="1" applyFont="1" applyFill="1" applyBorder="1" applyAlignment="1">
      <alignment vertical="center" wrapText="1"/>
    </xf>
    <xf numFmtId="0" fontId="6" fillId="0" borderId="0" xfId="0" applyFont="1"/>
    <xf numFmtId="164" fontId="6" fillId="4" borderId="8" xfId="0" applyNumberFormat="1" applyFont="1" applyFill="1" applyBorder="1"/>
    <xf numFmtId="164" fontId="14" fillId="5" borderId="17" xfId="0" applyNumberFormat="1" applyFont="1" applyFill="1" applyBorder="1" applyAlignment="1">
      <alignment vertical="center" wrapText="1"/>
    </xf>
    <xf numFmtId="164" fontId="14" fillId="5" borderId="17" xfId="0" applyNumberFormat="1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wrapText="1"/>
    </xf>
    <xf numFmtId="164" fontId="12" fillId="6" borderId="22" xfId="0" applyNumberFormat="1" applyFont="1" applyFill="1" applyBorder="1" applyAlignment="1">
      <alignment horizontal="center" wrapText="1"/>
    </xf>
    <xf numFmtId="164" fontId="12" fillId="6" borderId="10" xfId="0" applyNumberFormat="1" applyFont="1" applyFill="1" applyBorder="1" applyAlignment="1">
      <alignment wrapText="1"/>
    </xf>
    <xf numFmtId="164" fontId="12" fillId="6" borderId="25" xfId="0" applyNumberFormat="1" applyFont="1" applyFill="1" applyBorder="1" applyAlignment="1">
      <alignment horizontal="center" wrapText="1"/>
    </xf>
    <xf numFmtId="0" fontId="12" fillId="6" borderId="10" xfId="0" applyFont="1" applyFill="1" applyBorder="1" applyAlignment="1">
      <alignment wrapText="1"/>
    </xf>
    <xf numFmtId="0" fontId="12" fillId="6" borderId="25" xfId="0" applyFont="1" applyFill="1" applyBorder="1" applyAlignment="1">
      <alignment horizontal="center" wrapText="1"/>
    </xf>
    <xf numFmtId="164" fontId="12" fillId="6" borderId="28" xfId="0" applyNumberFormat="1" applyFont="1" applyFill="1" applyBorder="1" applyAlignment="1">
      <alignment wrapText="1"/>
    </xf>
    <xf numFmtId="164" fontId="12" fillId="6" borderId="25" xfId="0" applyNumberFormat="1" applyFont="1" applyFill="1" applyBorder="1" applyAlignment="1">
      <alignment horizontal="center" wrapText="1"/>
    </xf>
    <xf numFmtId="0" fontId="12" fillId="6" borderId="28" xfId="0" applyFont="1" applyFill="1" applyBorder="1" applyAlignment="1">
      <alignment wrapText="1"/>
    </xf>
    <xf numFmtId="0" fontId="12" fillId="6" borderId="25" xfId="0" applyFont="1" applyFill="1" applyBorder="1" applyAlignment="1">
      <alignment horizontal="center" wrapText="1"/>
    </xf>
    <xf numFmtId="0" fontId="12" fillId="6" borderId="28" xfId="0" applyFont="1" applyFill="1" applyBorder="1" applyAlignment="1">
      <alignment wrapText="1"/>
    </xf>
    <xf numFmtId="164" fontId="6" fillId="2" borderId="31" xfId="0" applyNumberFormat="1" applyFont="1" applyFill="1" applyBorder="1" applyAlignment="1">
      <alignment vertical="center" wrapText="1"/>
    </xf>
    <xf numFmtId="164" fontId="6" fillId="2" borderId="31" xfId="0" applyNumberFormat="1" applyFont="1" applyFill="1" applyBorder="1" applyAlignment="1">
      <alignment horizontal="center" vertical="center" wrapText="1"/>
    </xf>
    <xf numFmtId="0" fontId="16" fillId="9" borderId="0" xfId="0" applyFont="1" applyFill="1" applyAlignment="1"/>
    <xf numFmtId="164" fontId="16" fillId="9" borderId="0" xfId="0" applyNumberFormat="1" applyFont="1" applyFill="1" applyAlignment="1"/>
    <xf numFmtId="0" fontId="17" fillId="5" borderId="35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9" fontId="12" fillId="6" borderId="10" xfId="0" applyNumberFormat="1" applyFont="1" applyFill="1" applyBorder="1" applyAlignment="1">
      <alignment horizontal="right"/>
    </xf>
    <xf numFmtId="164" fontId="12" fillId="10" borderId="10" xfId="0" applyNumberFormat="1" applyFont="1" applyFill="1" applyBorder="1" applyAlignment="1">
      <alignment horizontal="right"/>
    </xf>
    <xf numFmtId="164" fontId="12" fillId="6" borderId="10" xfId="0" applyNumberFormat="1" applyFont="1" applyFill="1" applyBorder="1" applyAlignment="1">
      <alignment horizontal="right"/>
    </xf>
    <xf numFmtId="9" fontId="16" fillId="9" borderId="0" xfId="0" applyNumberFormat="1" applyFont="1" applyFill="1" applyAlignment="1"/>
    <xf numFmtId="166" fontId="16" fillId="9" borderId="0" xfId="0" applyNumberFormat="1" applyFont="1" applyFill="1" applyAlignment="1"/>
    <xf numFmtId="0" fontId="17" fillId="5" borderId="18" xfId="0" applyFont="1" applyFill="1" applyBorder="1" applyAlignment="1">
      <alignment horizontal="center"/>
    </xf>
    <xf numFmtId="0" fontId="17" fillId="5" borderId="37" xfId="0" applyFont="1" applyFill="1" applyBorder="1" applyAlignment="1">
      <alignment horizontal="center"/>
    </xf>
    <xf numFmtId="0" fontId="17" fillId="5" borderId="38" xfId="0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6" fillId="6" borderId="10" xfId="0" applyFont="1" applyFill="1" applyBorder="1" applyAlignment="1"/>
    <xf numFmtId="0" fontId="17" fillId="5" borderId="39" xfId="0" applyFont="1" applyFill="1" applyBorder="1" applyAlignment="1">
      <alignment horizontal="center"/>
    </xf>
    <xf numFmtId="164" fontId="16" fillId="6" borderId="10" xfId="0" applyNumberFormat="1" applyFont="1" applyFill="1" applyBorder="1" applyAlignment="1"/>
    <xf numFmtId="164" fontId="16" fillId="6" borderId="40" xfId="0" applyNumberFormat="1" applyFont="1" applyFill="1" applyBorder="1" applyAlignment="1"/>
    <xf numFmtId="0" fontId="18" fillId="9" borderId="0" xfId="0" applyFont="1" applyFill="1" applyAlignment="1"/>
    <xf numFmtId="0" fontId="18" fillId="6" borderId="41" xfId="0" applyFont="1" applyFill="1" applyBorder="1" applyAlignment="1">
      <alignment horizontal="center"/>
    </xf>
    <xf numFmtId="164" fontId="18" fillId="6" borderId="27" xfId="0" applyNumberFormat="1" applyFont="1" applyFill="1" applyBorder="1" applyAlignment="1"/>
    <xf numFmtId="0" fontId="18" fillId="6" borderId="42" xfId="0" applyFont="1" applyFill="1" applyBorder="1" applyAlignment="1">
      <alignment horizontal="center"/>
    </xf>
    <xf numFmtId="164" fontId="18" fillId="6" borderId="42" xfId="0" applyNumberFormat="1" applyFont="1" applyFill="1" applyBorder="1" applyAlignment="1"/>
    <xf numFmtId="0" fontId="16" fillId="6" borderId="10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164" fontId="18" fillId="9" borderId="0" xfId="0" applyNumberFormat="1" applyFont="1" applyFill="1" applyAlignment="1"/>
    <xf numFmtId="0" fontId="11" fillId="5" borderId="35" xfId="0" applyFont="1" applyFill="1" applyBorder="1" applyAlignment="1">
      <alignment vertical="center" wrapText="1"/>
    </xf>
    <xf numFmtId="0" fontId="11" fillId="5" borderId="35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right" vertical="center" wrapText="1"/>
    </xf>
    <xf numFmtId="164" fontId="6" fillId="2" borderId="11" xfId="0" applyNumberFormat="1" applyFont="1" applyFill="1" applyBorder="1"/>
    <xf numFmtId="1" fontId="6" fillId="2" borderId="11" xfId="0" applyNumberFormat="1" applyFont="1" applyFill="1" applyBorder="1"/>
    <xf numFmtId="0" fontId="6" fillId="7" borderId="11" xfId="0" applyFont="1" applyFill="1" applyBorder="1" applyAlignment="1">
      <alignment horizontal="center"/>
    </xf>
    <xf numFmtId="164" fontId="6" fillId="7" borderId="11" xfId="0" applyNumberFormat="1" applyFont="1" applyFill="1" applyBorder="1"/>
    <xf numFmtId="2" fontId="6" fillId="7" borderId="11" xfId="0" applyNumberFormat="1" applyFont="1" applyFill="1" applyBorder="1"/>
    <xf numFmtId="2" fontId="6" fillId="7" borderId="50" xfId="0" applyNumberFormat="1" applyFont="1" applyFill="1" applyBorder="1"/>
    <xf numFmtId="0" fontId="19" fillId="9" borderId="8" xfId="0" applyFont="1" applyFill="1" applyBorder="1" applyAlignment="1">
      <alignment vertical="center"/>
    </xf>
    <xf numFmtId="2" fontId="15" fillId="7" borderId="51" xfId="0" applyNumberFormat="1" applyFont="1" applyFill="1" applyBorder="1"/>
    <xf numFmtId="164" fontId="6" fillId="7" borderId="50" xfId="0" applyNumberFormat="1" applyFont="1" applyFill="1" applyBorder="1"/>
    <xf numFmtId="164" fontId="15" fillId="7" borderId="51" xfId="0" applyNumberFormat="1" applyFont="1" applyFill="1" applyBorder="1"/>
    <xf numFmtId="0" fontId="17" fillId="5" borderId="35" xfId="0" applyFont="1" applyFill="1" applyBorder="1" applyAlignment="1"/>
    <xf numFmtId="0" fontId="17" fillId="5" borderId="35" xfId="0" applyFont="1" applyFill="1" applyBorder="1" applyAlignment="1">
      <alignment horizontal="right"/>
    </xf>
    <xf numFmtId="164" fontId="16" fillId="6" borderId="10" xfId="0" applyNumberFormat="1" applyFont="1" applyFill="1" applyBorder="1" applyAlignment="1"/>
    <xf numFmtId="0" fontId="17" fillId="5" borderId="35" xfId="0" applyFont="1" applyFill="1" applyBorder="1" applyAlignment="1">
      <alignment horizontal="right"/>
    </xf>
    <xf numFmtId="164" fontId="17" fillId="5" borderId="35" xfId="0" applyNumberFormat="1" applyFont="1" applyFill="1" applyBorder="1" applyAlignment="1">
      <alignment horizontal="center"/>
    </xf>
    <xf numFmtId="0" fontId="18" fillId="6" borderId="52" xfId="0" applyFont="1" applyFill="1" applyBorder="1" applyAlignment="1"/>
    <xf numFmtId="0" fontId="18" fillId="6" borderId="27" xfId="0" applyFont="1" applyFill="1" applyBorder="1" applyAlignment="1"/>
    <xf numFmtId="164" fontId="18" fillId="6" borderId="0" xfId="0" applyNumberFormat="1" applyFont="1" applyFill="1" applyAlignment="1"/>
    <xf numFmtId="164" fontId="20" fillId="0" borderId="0" xfId="0" applyNumberFormat="1" applyFont="1"/>
    <xf numFmtId="0" fontId="22" fillId="9" borderId="0" xfId="0" applyFont="1" applyFill="1" applyAlignment="1"/>
    <xf numFmtId="164" fontId="18" fillId="6" borderId="52" xfId="0" applyNumberFormat="1" applyFont="1" applyFill="1" applyBorder="1" applyAlignment="1"/>
    <xf numFmtId="0" fontId="23" fillId="0" borderId="0" xfId="0" applyFont="1" applyAlignment="1">
      <alignment horizontal="left" vertical="top"/>
    </xf>
    <xf numFmtId="164" fontId="18" fillId="6" borderId="0" xfId="0" applyNumberFormat="1" applyFont="1" applyFill="1" applyAlignment="1"/>
    <xf numFmtId="164" fontId="24" fillId="9" borderId="0" xfId="0" applyNumberFormat="1" applyFont="1" applyFill="1" applyAlignment="1"/>
    <xf numFmtId="0" fontId="16" fillId="9" borderId="0" xfId="0" applyFont="1" applyFill="1" applyAlignment="1"/>
    <xf numFmtId="164" fontId="16" fillId="6" borderId="10" xfId="0" applyNumberFormat="1" applyFont="1" applyFill="1" applyBorder="1" applyAlignment="1">
      <alignment horizontal="center"/>
    </xf>
    <xf numFmtId="164" fontId="18" fillId="6" borderId="10" xfId="0" applyNumberFormat="1" applyFont="1" applyFill="1" applyBorder="1" applyAlignment="1"/>
    <xf numFmtId="164" fontId="18" fillId="6" borderId="10" xfId="0" applyNumberFormat="1" applyFont="1" applyFill="1" applyBorder="1" applyAlignment="1">
      <alignment horizontal="center"/>
    </xf>
    <xf numFmtId="0" fontId="18" fillId="9" borderId="10" xfId="0" applyFont="1" applyFill="1" applyBorder="1" applyAlignment="1"/>
    <xf numFmtId="0" fontId="7" fillId="4" borderId="8" xfId="0" applyFont="1" applyFill="1" applyBorder="1" applyAlignment="1">
      <alignment horizontal="center" vertical="center" wrapText="1"/>
    </xf>
    <xf numFmtId="164" fontId="16" fillId="6" borderId="54" xfId="0" applyNumberFormat="1" applyFont="1" applyFill="1" applyBorder="1" applyAlignment="1"/>
    <xf numFmtId="0" fontId="6" fillId="4" borderId="55" xfId="0" applyFont="1" applyFill="1" applyBorder="1"/>
    <xf numFmtId="164" fontId="16" fillId="6" borderId="27" xfId="0" applyNumberFormat="1" applyFont="1" applyFill="1" applyBorder="1" applyAlignment="1"/>
    <xf numFmtId="0" fontId="6" fillId="4" borderId="56" xfId="0" applyFont="1" applyFill="1" applyBorder="1"/>
    <xf numFmtId="0" fontId="17" fillId="5" borderId="35" xfId="0" applyFont="1" applyFill="1" applyBorder="1" applyAlignment="1">
      <alignment horizontal="right" wrapText="1"/>
    </xf>
    <xf numFmtId="0" fontId="16" fillId="0" borderId="57" xfId="0" applyFont="1" applyBorder="1" applyAlignment="1">
      <alignment wrapText="1"/>
    </xf>
    <xf numFmtId="0" fontId="16" fillId="0" borderId="57" xfId="0" applyFont="1" applyBorder="1" applyAlignment="1">
      <alignment wrapText="1"/>
    </xf>
    <xf numFmtId="0" fontId="16" fillId="9" borderId="0" xfId="0" applyFont="1" applyFill="1" applyAlignment="1">
      <alignment wrapText="1"/>
    </xf>
    <xf numFmtId="10" fontId="16" fillId="0" borderId="57" xfId="0" applyNumberFormat="1" applyFont="1" applyBorder="1" applyAlignment="1">
      <alignment horizontal="center" wrapText="1"/>
    </xf>
    <xf numFmtId="10" fontId="16" fillId="12" borderId="57" xfId="0" applyNumberFormat="1" applyFont="1" applyFill="1" applyBorder="1" applyAlignment="1">
      <alignment horizontal="center" wrapText="1"/>
    </xf>
    <xf numFmtId="164" fontId="16" fillId="0" borderId="57" xfId="0" applyNumberFormat="1" applyFont="1" applyBorder="1" applyAlignment="1">
      <alignment horizontal="right" wrapText="1"/>
    </xf>
    <xf numFmtId="166" fontId="16" fillId="0" borderId="57" xfId="0" applyNumberFormat="1" applyFont="1" applyBorder="1" applyAlignment="1">
      <alignment horizontal="right" wrapText="1"/>
    </xf>
    <xf numFmtId="10" fontId="18" fillId="9" borderId="0" xfId="0" applyNumberFormat="1" applyFont="1" applyFill="1" applyAlignment="1">
      <alignment horizontal="left" wrapText="1"/>
    </xf>
    <xf numFmtId="0" fontId="14" fillId="5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2" fillId="6" borderId="20" xfId="0" applyFont="1" applyFill="1" applyBorder="1" applyAlignment="1">
      <alignment horizontal="center"/>
    </xf>
    <xf numFmtId="0" fontId="3" fillId="0" borderId="21" xfId="0" applyFont="1" applyBorder="1"/>
    <xf numFmtId="0" fontId="12" fillId="6" borderId="23" xfId="0" applyFont="1" applyFill="1" applyBorder="1" applyAlignment="1">
      <alignment horizontal="center"/>
    </xf>
    <xf numFmtId="0" fontId="3" fillId="0" borderId="24" xfId="0" applyFont="1" applyBorder="1"/>
    <xf numFmtId="0" fontId="6" fillId="4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13" fillId="8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4" fillId="5" borderId="18" xfId="0" applyFont="1" applyFill="1" applyBorder="1" applyAlignment="1">
      <alignment horizontal="right" vertical="center" wrapText="1"/>
    </xf>
    <xf numFmtId="0" fontId="3" fillId="0" borderId="19" xfId="0" applyFont="1" applyBorder="1"/>
    <xf numFmtId="0" fontId="6" fillId="2" borderId="29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12" fillId="6" borderId="26" xfId="0" applyFont="1" applyFill="1" applyBorder="1" applyAlignment="1">
      <alignment wrapText="1"/>
    </xf>
    <xf numFmtId="0" fontId="3" fillId="0" borderId="27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/>
    <xf numFmtId="0" fontId="9" fillId="4" borderId="1" xfId="0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12" fillId="6" borderId="34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0" fontId="21" fillId="0" borderId="53" xfId="0" applyFont="1" applyBorder="1" applyAlignment="1">
      <alignment horizontal="center"/>
    </xf>
    <xf numFmtId="0" fontId="3" fillId="0" borderId="53" xfId="0" applyFont="1" applyBorder="1"/>
    <xf numFmtId="0" fontId="17" fillId="5" borderId="43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5" borderId="18" xfId="0" applyFont="1" applyFill="1" applyBorder="1" applyAlignment="1">
      <alignment horizontal="right"/>
    </xf>
    <xf numFmtId="0" fontId="3" fillId="0" borderId="36" xfId="0" applyFont="1" applyBorder="1"/>
    <xf numFmtId="0" fontId="17" fillId="5" borderId="13" xfId="0" applyFont="1" applyFill="1" applyBorder="1" applyAlignment="1">
      <alignment horizontal="center"/>
    </xf>
    <xf numFmtId="0" fontId="18" fillId="6" borderId="44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/>
    </xf>
    <xf numFmtId="0" fontId="17" fillId="5" borderId="34" xfId="0" applyFont="1" applyFill="1" applyBorder="1" applyAlignment="1">
      <alignment horizontal="right"/>
    </xf>
    <xf numFmtId="0" fontId="3" fillId="0" borderId="20" xfId="0" applyFont="1" applyBorder="1"/>
    <xf numFmtId="0" fontId="11" fillId="5" borderId="18" xfId="0" applyFont="1" applyFill="1" applyBorder="1" applyAlignment="1">
      <alignment horizontal="right" vertical="center" wrapText="1"/>
    </xf>
    <xf numFmtId="164" fontId="15" fillId="7" borderId="45" xfId="0" applyNumberFormat="1" applyFont="1" applyFill="1" applyBorder="1" applyAlignment="1">
      <alignment horizontal="center"/>
    </xf>
    <xf numFmtId="0" fontId="3" fillId="0" borderId="46" xfId="0" applyFont="1" applyBorder="1"/>
    <xf numFmtId="0" fontId="18" fillId="11" borderId="13" xfId="0" applyFont="1" applyFill="1" applyBorder="1" applyAlignment="1"/>
    <xf numFmtId="0" fontId="17" fillId="5" borderId="18" xfId="0" applyFont="1" applyFill="1" applyBorder="1" applyAlignment="1">
      <alignment horizontal="center"/>
    </xf>
    <xf numFmtId="0" fontId="11" fillId="5" borderId="47" xfId="0" applyFont="1" applyFill="1" applyBorder="1" applyAlignment="1">
      <alignment horizontal="center" vertical="center" wrapText="1"/>
    </xf>
    <xf numFmtId="0" fontId="3" fillId="0" borderId="48" xfId="0" applyFont="1" applyBorder="1"/>
    <xf numFmtId="0" fontId="3" fillId="0" borderId="49" xfId="0" applyFont="1" applyBorder="1"/>
    <xf numFmtId="0" fontId="17" fillId="5" borderId="1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5</xdr:row>
      <xdr:rowOff>219075</xdr:rowOff>
    </xdr:from>
    <xdr:ext cx="11144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0</xdr:row>
      <xdr:rowOff>0</xdr:rowOff>
    </xdr:from>
    <xdr:ext cx="5029200" cy="12954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733425</xdr:colOff>
      <xdr:row>0</xdr:row>
      <xdr:rowOff>0</xdr:rowOff>
    </xdr:from>
    <xdr:ext cx="1343025" cy="1066800"/>
    <xdr:pic>
      <xdr:nvPicPr>
        <xdr:cNvPr id="2" name="image3.png" descr="Forma&#10;&#10;Descripción generada automáticamente con confianza medi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809625</xdr:colOff>
      <xdr:row>0</xdr:row>
      <xdr:rowOff>0</xdr:rowOff>
    </xdr:from>
    <xdr:ext cx="4352925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2025\SENA\Proyectos\Modulo%20financiero%20y%20viabil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1. INFORMACIÓN GENERAL"/>
      <sheetName val="2. NECESIDADES Y OBJETIVOS"/>
      <sheetName val="3. CLIENTE"/>
      <sheetName val="4. COMPETENCIA Y ACTORES"/>
      <sheetName val="5. JUSTIFICACIÓN"/>
      <sheetName val="6. PRODUCTO"/>
      <sheetName val="7. RECURSOS"/>
      <sheetName val="8. EQUIPO DE TRABAJO"/>
      <sheetName val="9. PLAN DE ACCIÓN"/>
      <sheetName val="10. DESARROLLO SUSTENTABLE"/>
      <sheetName val="11. FLUJO FINANCIERO"/>
      <sheetName val="12. IMPULSO PRODUCTIVO"/>
      <sheetName val="ACREDITACIÓN"/>
      <sheetName val="CONSOLIDADO"/>
      <sheetName val="Lista desplegable 1"/>
      <sheetName val="Lista desplegable 2"/>
      <sheetName val="Lista desplegable 3"/>
      <sheetName val="Modulo financiero y vi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2"/>
  <sheetViews>
    <sheetView tabSelected="1" workbookViewId="0">
      <selection activeCell="A4" sqref="A4:F4"/>
    </sheetView>
  </sheetViews>
  <sheetFormatPr baseColWidth="10" defaultColWidth="14.42578125" defaultRowHeight="15" customHeight="1"/>
  <cols>
    <col min="1" max="4" width="35.5703125" customWidth="1"/>
    <col min="5" max="5" width="41.5703125" customWidth="1"/>
    <col min="6" max="6" width="35.5703125" customWidth="1"/>
    <col min="7" max="25" width="10.7109375" customWidth="1"/>
  </cols>
  <sheetData>
    <row r="1" spans="1:13" ht="101.25" customHeight="1">
      <c r="C1" s="132"/>
      <c r="D1" s="133"/>
      <c r="E1" s="133"/>
    </row>
    <row r="2" spans="1:13" ht="33.75" customHeight="1">
      <c r="B2" s="134" t="s">
        <v>0</v>
      </c>
      <c r="C2" s="117"/>
      <c r="D2" s="117"/>
      <c r="E2" s="118"/>
    </row>
    <row r="3" spans="1:13" ht="30.75" customHeight="1">
      <c r="A3" s="135" t="s">
        <v>1</v>
      </c>
      <c r="B3" s="117"/>
      <c r="C3" s="117"/>
      <c r="D3" s="117"/>
      <c r="E3" s="117"/>
      <c r="F3" s="118"/>
      <c r="H3" s="136"/>
      <c r="I3" s="117"/>
      <c r="J3" s="117"/>
      <c r="K3" s="117"/>
      <c r="L3" s="117"/>
      <c r="M3" s="118"/>
    </row>
    <row r="4" spans="1:13" ht="16.5">
      <c r="A4" s="137"/>
      <c r="B4" s="138"/>
      <c r="C4" s="138"/>
      <c r="D4" s="138"/>
      <c r="E4" s="138"/>
      <c r="F4" s="138"/>
    </row>
    <row r="5" spans="1:13" ht="23.25" customHeight="1">
      <c r="A5" s="119" t="s">
        <v>2</v>
      </c>
      <c r="B5" s="120"/>
      <c r="C5" s="120"/>
      <c r="D5" s="120"/>
      <c r="E5" s="120"/>
      <c r="F5" s="121"/>
    </row>
    <row r="6" spans="1:13" ht="30.75">
      <c r="A6" s="1"/>
      <c r="B6" s="1"/>
      <c r="C6" s="1"/>
      <c r="D6" s="2"/>
      <c r="E6" s="2"/>
      <c r="F6" s="2"/>
    </row>
    <row r="7" spans="1:13" ht="57.75" customHeight="1">
      <c r="A7" s="3"/>
      <c r="B7" s="139" t="s">
        <v>3</v>
      </c>
      <c r="C7" s="117"/>
      <c r="D7" s="117"/>
      <c r="E7" s="117"/>
      <c r="F7" s="118"/>
    </row>
    <row r="8" spans="1:13" ht="10.5" customHeight="1">
      <c r="A8" s="3"/>
      <c r="B8" s="148"/>
      <c r="C8" s="117"/>
      <c r="D8" s="117"/>
      <c r="E8" s="117"/>
      <c r="F8" s="118"/>
    </row>
    <row r="9" spans="1:13" ht="16.5">
      <c r="A9" s="3"/>
      <c r="B9" s="4"/>
      <c r="C9" s="5"/>
      <c r="D9" s="6"/>
      <c r="E9" s="6"/>
      <c r="F9" s="6"/>
    </row>
    <row r="10" spans="1:13" ht="30">
      <c r="A10" s="7" t="s">
        <v>4</v>
      </c>
      <c r="B10" s="8" t="s">
        <v>5</v>
      </c>
      <c r="C10" s="9" t="s">
        <v>6</v>
      </c>
      <c r="D10" s="10" t="s">
        <v>7</v>
      </c>
      <c r="E10" s="10" t="s">
        <v>8</v>
      </c>
      <c r="F10" s="10" t="s">
        <v>9</v>
      </c>
    </row>
    <row r="11" spans="1:13" ht="54.75" customHeight="1">
      <c r="A11" s="11" t="s">
        <v>10</v>
      </c>
      <c r="B11" s="12">
        <v>8</v>
      </c>
      <c r="C11" s="12">
        <v>18018</v>
      </c>
      <c r="D11" s="13">
        <f t="shared" ref="D11:D22" si="0">C11*B11</f>
        <v>144144</v>
      </c>
      <c r="E11" s="14"/>
      <c r="F11" s="15"/>
    </row>
    <row r="12" spans="1:13" ht="28.5">
      <c r="A12" s="11" t="s">
        <v>11</v>
      </c>
      <c r="B12" s="12">
        <v>4</v>
      </c>
      <c r="C12" s="12">
        <v>54709</v>
      </c>
      <c r="D12" s="13">
        <f t="shared" si="0"/>
        <v>218836</v>
      </c>
      <c r="E12" s="14"/>
      <c r="F12" s="15"/>
    </row>
    <row r="13" spans="1:13" ht="52.5" customHeight="1">
      <c r="A13" s="11" t="s">
        <v>12</v>
      </c>
      <c r="B13" s="12">
        <v>11</v>
      </c>
      <c r="C13" s="12">
        <v>133560</v>
      </c>
      <c r="D13" s="13">
        <f t="shared" si="0"/>
        <v>1469160</v>
      </c>
      <c r="E13" s="14"/>
      <c r="F13" s="15"/>
    </row>
    <row r="14" spans="1:13" ht="43.5" customHeight="1">
      <c r="A14" s="11" t="s">
        <v>13</v>
      </c>
      <c r="B14" s="12">
        <v>1</v>
      </c>
      <c r="C14" s="12">
        <v>267750</v>
      </c>
      <c r="D14" s="13">
        <f t="shared" si="0"/>
        <v>267750</v>
      </c>
      <c r="E14" s="14"/>
      <c r="F14" s="15"/>
    </row>
    <row r="15" spans="1:13" ht="42.75">
      <c r="A15" s="11" t="s">
        <v>14</v>
      </c>
      <c r="B15" s="12">
        <v>1</v>
      </c>
      <c r="C15" s="12">
        <v>442680</v>
      </c>
      <c r="D15" s="13">
        <f t="shared" si="0"/>
        <v>442680</v>
      </c>
      <c r="E15" s="14"/>
      <c r="F15" s="15"/>
    </row>
    <row r="16" spans="1:13" ht="16.5">
      <c r="A16" s="11" t="s">
        <v>15</v>
      </c>
      <c r="B16" s="12">
        <v>14</v>
      </c>
      <c r="C16" s="12">
        <v>68544</v>
      </c>
      <c r="D16" s="13">
        <f t="shared" si="0"/>
        <v>959616</v>
      </c>
      <c r="E16" s="14"/>
      <c r="F16" s="15"/>
    </row>
    <row r="17" spans="1:6" ht="28.5">
      <c r="A17" s="11" t="s">
        <v>16</v>
      </c>
      <c r="B17" s="12">
        <v>1</v>
      </c>
      <c r="C17" s="12">
        <v>257040</v>
      </c>
      <c r="D17" s="13">
        <f t="shared" si="0"/>
        <v>257040</v>
      </c>
      <c r="E17" s="14"/>
      <c r="F17" s="15"/>
    </row>
    <row r="18" spans="1:6" ht="16.5">
      <c r="A18" s="11" t="s">
        <v>17</v>
      </c>
      <c r="B18" s="12">
        <v>100</v>
      </c>
      <c r="C18" s="16">
        <v>428</v>
      </c>
      <c r="D18" s="13">
        <f t="shared" si="0"/>
        <v>42800</v>
      </c>
      <c r="E18" s="14"/>
      <c r="F18" s="15"/>
    </row>
    <row r="19" spans="1:6" ht="28.5">
      <c r="A19" s="11" t="s">
        <v>18</v>
      </c>
      <c r="B19" s="12">
        <v>100</v>
      </c>
      <c r="C19" s="16">
        <v>571</v>
      </c>
      <c r="D19" s="13">
        <f t="shared" si="0"/>
        <v>57100</v>
      </c>
      <c r="E19" s="14"/>
      <c r="F19" s="15"/>
    </row>
    <row r="20" spans="1:6" ht="28.5">
      <c r="A20" s="11" t="s">
        <v>19</v>
      </c>
      <c r="B20" s="12">
        <v>1</v>
      </c>
      <c r="C20" s="12">
        <v>535500</v>
      </c>
      <c r="D20" s="13">
        <f t="shared" si="0"/>
        <v>535500</v>
      </c>
      <c r="E20" s="14"/>
      <c r="F20" s="15"/>
    </row>
    <row r="21" spans="1:6" ht="15.75" customHeight="1">
      <c r="A21" s="11" t="s">
        <v>20</v>
      </c>
      <c r="B21" s="12">
        <v>2</v>
      </c>
      <c r="C21" s="12">
        <v>16658</v>
      </c>
      <c r="D21" s="13">
        <f t="shared" si="0"/>
        <v>33316</v>
      </c>
      <c r="E21" s="14"/>
      <c r="F21" s="15"/>
    </row>
    <row r="22" spans="1:6" ht="15.75" customHeight="1">
      <c r="A22" s="11" t="s">
        <v>21</v>
      </c>
      <c r="B22" s="12">
        <v>190</v>
      </c>
      <c r="C22" s="17">
        <v>70000</v>
      </c>
      <c r="D22" s="13">
        <f t="shared" si="0"/>
        <v>13300000</v>
      </c>
      <c r="E22" s="14"/>
      <c r="F22" s="15"/>
    </row>
    <row r="23" spans="1:6" ht="15.75" customHeight="1">
      <c r="A23" s="18" t="s">
        <v>22</v>
      </c>
      <c r="B23" s="18"/>
      <c r="C23" s="18"/>
      <c r="D23" s="19">
        <f t="shared" ref="D23:E23" si="1">SUM(D11:D22)</f>
        <v>17727942</v>
      </c>
      <c r="E23" s="19">
        <f t="shared" si="1"/>
        <v>0</v>
      </c>
      <c r="F23" s="20"/>
    </row>
    <row r="24" spans="1:6" ht="15.75" customHeight="1">
      <c r="A24" s="137"/>
      <c r="B24" s="138"/>
      <c r="C24" s="138"/>
      <c r="D24" s="138"/>
      <c r="E24" s="138"/>
      <c r="F24" s="138"/>
    </row>
    <row r="25" spans="1:6" ht="36" customHeight="1">
      <c r="A25" s="119" t="s">
        <v>23</v>
      </c>
      <c r="B25" s="120"/>
      <c r="C25" s="120"/>
      <c r="D25" s="120"/>
      <c r="E25" s="120"/>
      <c r="F25" s="121"/>
    </row>
    <row r="26" spans="1:6" ht="15.75" customHeight="1">
      <c r="A26" s="123"/>
      <c r="B26" s="124"/>
      <c r="C26" s="124"/>
      <c r="D26" s="124"/>
      <c r="E26" s="124"/>
      <c r="F26" s="125"/>
    </row>
    <row r="27" spans="1:6" ht="15.75" customHeight="1">
      <c r="A27" s="140">
        <f>D23</f>
        <v>17727942</v>
      </c>
      <c r="B27" s="117"/>
      <c r="C27" s="117"/>
      <c r="D27" s="117"/>
      <c r="E27" s="117"/>
      <c r="F27" s="118"/>
    </row>
    <row r="28" spans="1:6" ht="15.75" customHeight="1">
      <c r="A28" s="123"/>
      <c r="B28" s="124"/>
      <c r="C28" s="124"/>
      <c r="D28" s="124"/>
      <c r="E28" s="124"/>
      <c r="F28" s="125"/>
    </row>
    <row r="29" spans="1:6" ht="15.75" customHeight="1">
      <c r="A29" s="141" t="s">
        <v>24</v>
      </c>
      <c r="B29" s="117"/>
      <c r="C29" s="117"/>
      <c r="D29" s="117"/>
      <c r="E29" s="117"/>
      <c r="F29" s="118"/>
    </row>
    <row r="30" spans="1:6" ht="15.75" customHeight="1">
      <c r="A30" s="21"/>
      <c r="B30" s="3"/>
      <c r="C30" s="3"/>
      <c r="D30" s="22"/>
      <c r="E30" s="22"/>
      <c r="F30" s="22"/>
    </row>
    <row r="31" spans="1:6" ht="37.5" customHeight="1">
      <c r="A31" s="119" t="s">
        <v>25</v>
      </c>
      <c r="B31" s="120"/>
      <c r="C31" s="120"/>
      <c r="D31" s="120"/>
      <c r="E31" s="120"/>
      <c r="F31" s="121"/>
    </row>
    <row r="32" spans="1:6" ht="15.75" customHeight="1">
      <c r="A32" s="137"/>
      <c r="B32" s="138"/>
      <c r="C32" s="138"/>
      <c r="D32" s="138"/>
      <c r="E32" s="138"/>
      <c r="F32" s="138"/>
    </row>
    <row r="33" spans="1:6" ht="15.75" customHeight="1">
      <c r="A33" s="142">
        <f>+D23-E23</f>
        <v>17727942</v>
      </c>
      <c r="B33" s="117"/>
      <c r="C33" s="117"/>
      <c r="D33" s="117"/>
      <c r="E33" s="117"/>
      <c r="F33" s="118"/>
    </row>
    <row r="34" spans="1:6" ht="15.75" customHeight="1">
      <c r="A34" s="123"/>
      <c r="B34" s="124"/>
      <c r="C34" s="124"/>
      <c r="D34" s="124"/>
      <c r="E34" s="124"/>
      <c r="F34" s="125"/>
    </row>
    <row r="35" spans="1:6" ht="15.75" customHeight="1">
      <c r="A35" s="141" t="s">
        <v>24</v>
      </c>
      <c r="B35" s="117"/>
      <c r="C35" s="117"/>
      <c r="D35" s="117"/>
      <c r="E35" s="117"/>
      <c r="F35" s="118"/>
    </row>
    <row r="36" spans="1:6" ht="15.75" customHeight="1">
      <c r="A36" s="116"/>
      <c r="B36" s="117"/>
      <c r="C36" s="117"/>
      <c r="D36" s="117"/>
      <c r="E36" s="117"/>
      <c r="F36" s="118"/>
    </row>
    <row r="37" spans="1:6" ht="36" customHeight="1">
      <c r="A37" s="119" t="s">
        <v>26</v>
      </c>
      <c r="B37" s="120"/>
      <c r="C37" s="120"/>
      <c r="D37" s="120"/>
      <c r="E37" s="120"/>
      <c r="F37" s="121"/>
    </row>
    <row r="38" spans="1:6" ht="15.75" customHeight="1">
      <c r="A38" s="116"/>
      <c r="B38" s="117"/>
      <c r="C38" s="117"/>
      <c r="D38" s="117"/>
      <c r="E38" s="117"/>
      <c r="F38" s="118"/>
    </row>
    <row r="39" spans="1:6" ht="15.75" customHeight="1">
      <c r="A39" s="122" t="s">
        <v>27</v>
      </c>
      <c r="B39" s="117"/>
      <c r="C39" s="117"/>
      <c r="D39" s="117"/>
      <c r="E39" s="117"/>
      <c r="F39" s="118"/>
    </row>
    <row r="40" spans="1:6" ht="15.75" customHeight="1">
      <c r="A40" s="123"/>
      <c r="B40" s="124"/>
      <c r="C40" s="124"/>
      <c r="D40" s="124"/>
      <c r="E40" s="124"/>
      <c r="F40" s="125"/>
    </row>
    <row r="41" spans="1:6" ht="15.75" customHeight="1">
      <c r="A41" s="3"/>
      <c r="B41" s="3"/>
      <c r="C41" s="110" t="s">
        <v>28</v>
      </c>
      <c r="D41" s="111"/>
      <c r="E41" s="23" t="s">
        <v>29</v>
      </c>
      <c r="F41" s="24" t="s">
        <v>30</v>
      </c>
    </row>
    <row r="42" spans="1:6" ht="15.75" customHeight="1">
      <c r="A42" s="126" t="s">
        <v>31</v>
      </c>
      <c r="B42" s="127"/>
      <c r="C42" s="112" t="s">
        <v>32</v>
      </c>
      <c r="D42" s="113"/>
      <c r="E42" s="25" t="s">
        <v>33</v>
      </c>
      <c r="F42" s="26"/>
    </row>
    <row r="43" spans="1:6" ht="15.75" customHeight="1">
      <c r="A43" s="126" t="s">
        <v>34</v>
      </c>
      <c r="B43" s="127"/>
      <c r="C43" s="114" t="s">
        <v>35</v>
      </c>
      <c r="D43" s="115"/>
      <c r="E43" s="27" t="s">
        <v>36</v>
      </c>
      <c r="F43" s="28" t="s">
        <v>37</v>
      </c>
    </row>
    <row r="44" spans="1:6" ht="15.75" customHeight="1">
      <c r="A44" s="126" t="s">
        <v>38</v>
      </c>
      <c r="B44" s="127"/>
      <c r="C44" s="114" t="s">
        <v>39</v>
      </c>
      <c r="D44" s="115"/>
      <c r="E44" s="29"/>
      <c r="F44" s="30"/>
    </row>
    <row r="45" spans="1:6" ht="15.75" customHeight="1">
      <c r="A45" s="126" t="s">
        <v>40</v>
      </c>
      <c r="B45" s="127"/>
      <c r="C45" s="130"/>
      <c r="D45" s="131"/>
      <c r="E45" s="31" t="s">
        <v>41</v>
      </c>
      <c r="F45" s="32"/>
    </row>
    <row r="46" spans="1:6" ht="15.75" customHeight="1">
      <c r="A46" s="126" t="s">
        <v>42</v>
      </c>
      <c r="B46" s="127"/>
      <c r="C46" s="130"/>
      <c r="D46" s="131"/>
      <c r="E46" s="33"/>
      <c r="F46" s="34" t="s">
        <v>43</v>
      </c>
    </row>
    <row r="47" spans="1:6" ht="15.75" customHeight="1">
      <c r="A47" s="126" t="s">
        <v>44</v>
      </c>
      <c r="B47" s="127"/>
      <c r="C47" s="130"/>
      <c r="D47" s="131"/>
      <c r="E47" s="35" t="s">
        <v>45</v>
      </c>
      <c r="F47" s="30"/>
    </row>
    <row r="48" spans="1:6" ht="15.75" customHeight="1">
      <c r="A48" s="126" t="s">
        <v>46</v>
      </c>
      <c r="B48" s="127"/>
      <c r="C48" s="130"/>
      <c r="D48" s="131"/>
      <c r="E48" s="33"/>
      <c r="F48" s="30"/>
    </row>
    <row r="49" spans="1:6" ht="15.75" customHeight="1">
      <c r="A49" s="126" t="s">
        <v>47</v>
      </c>
      <c r="B49" s="127"/>
      <c r="C49" s="130"/>
      <c r="D49" s="131"/>
      <c r="E49" s="31" t="s">
        <v>48</v>
      </c>
      <c r="F49" s="28" t="s">
        <v>49</v>
      </c>
    </row>
    <row r="50" spans="1:6" ht="15.75" customHeight="1">
      <c r="A50" s="126"/>
      <c r="B50" s="127"/>
      <c r="C50" s="128"/>
      <c r="D50" s="129"/>
      <c r="E50" s="36"/>
      <c r="F50" s="37"/>
    </row>
    <row r="51" spans="1:6" ht="15.75" customHeight="1">
      <c r="A51" s="123"/>
      <c r="B51" s="124"/>
      <c r="C51" s="124"/>
      <c r="D51" s="124"/>
      <c r="E51" s="124"/>
      <c r="F51" s="125"/>
    </row>
    <row r="52" spans="1:6" ht="36.75" customHeight="1">
      <c r="A52" s="119" t="s">
        <v>50</v>
      </c>
      <c r="B52" s="120"/>
      <c r="C52" s="120"/>
      <c r="D52" s="120"/>
      <c r="E52" s="120"/>
      <c r="F52" s="121"/>
    </row>
    <row r="53" spans="1:6" ht="15.75" customHeight="1">
      <c r="A53" s="123"/>
      <c r="B53" s="124"/>
      <c r="C53" s="124"/>
      <c r="D53" s="124"/>
      <c r="E53" s="124"/>
      <c r="F53" s="125"/>
    </row>
    <row r="54" spans="1:6" ht="15.75" customHeight="1">
      <c r="A54" s="146" t="s">
        <v>51</v>
      </c>
      <c r="B54" s="117"/>
      <c r="C54" s="117"/>
      <c r="D54" s="117"/>
      <c r="E54" s="117"/>
      <c r="F54" s="118"/>
    </row>
    <row r="55" spans="1:6" ht="15.75" customHeight="1">
      <c r="A55" s="123"/>
      <c r="B55" s="124"/>
      <c r="C55" s="124"/>
      <c r="D55" s="124"/>
      <c r="E55" s="124"/>
      <c r="F55" s="125"/>
    </row>
    <row r="56" spans="1:6" ht="15.75" customHeight="1">
      <c r="A56" s="147" t="s">
        <v>52</v>
      </c>
      <c r="B56" s="117"/>
      <c r="C56" s="117"/>
      <c r="D56" s="117"/>
      <c r="E56" s="117"/>
      <c r="F56" s="118"/>
    </row>
    <row r="57" spans="1:6" ht="15.75" customHeight="1">
      <c r="A57" s="123"/>
      <c r="B57" s="124"/>
      <c r="C57" s="124"/>
      <c r="D57" s="124"/>
      <c r="E57" s="124"/>
      <c r="F57" s="125"/>
    </row>
    <row r="58" spans="1:6" ht="15.75" customHeight="1">
      <c r="A58" s="143" t="s">
        <v>53</v>
      </c>
      <c r="B58" s="144"/>
      <c r="C58" s="143" t="s">
        <v>54</v>
      </c>
      <c r="D58" s="144"/>
      <c r="E58" s="24" t="s">
        <v>55</v>
      </c>
    </row>
    <row r="59" spans="1:6" ht="15.75" customHeight="1">
      <c r="A59" s="145" t="s">
        <v>56</v>
      </c>
      <c r="B59" s="113"/>
      <c r="C59" s="112" t="s">
        <v>57</v>
      </c>
      <c r="D59" s="113"/>
      <c r="E59" s="37" t="s">
        <v>58</v>
      </c>
    </row>
    <row r="60" spans="1:6" ht="15.75" customHeight="1">
      <c r="A60" s="145" t="s">
        <v>59</v>
      </c>
      <c r="B60" s="113"/>
      <c r="C60" s="112" t="s">
        <v>60</v>
      </c>
      <c r="D60" s="113"/>
      <c r="E60" s="37" t="s">
        <v>58</v>
      </c>
    </row>
    <row r="61" spans="1:6" ht="15.75" customHeight="1">
      <c r="A61" s="145" t="s">
        <v>61</v>
      </c>
      <c r="B61" s="113"/>
      <c r="C61" s="112" t="s">
        <v>62</v>
      </c>
      <c r="D61" s="113"/>
      <c r="E61" s="37" t="s">
        <v>58</v>
      </c>
    </row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58">
    <mergeCell ref="A50:B50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  <mergeCell ref="A49:B49"/>
    <mergeCell ref="A61:B61"/>
    <mergeCell ref="C61:D61"/>
    <mergeCell ref="A51:F51"/>
    <mergeCell ref="A52:F52"/>
    <mergeCell ref="A53:F53"/>
    <mergeCell ref="A54:F54"/>
    <mergeCell ref="A55:F55"/>
    <mergeCell ref="A56:F56"/>
    <mergeCell ref="A57:F57"/>
    <mergeCell ref="A58:B58"/>
    <mergeCell ref="C58:D58"/>
    <mergeCell ref="A59:B59"/>
    <mergeCell ref="C59:D59"/>
    <mergeCell ref="A60:B60"/>
    <mergeCell ref="C60:D60"/>
    <mergeCell ref="H3:M3"/>
    <mergeCell ref="A4:F4"/>
    <mergeCell ref="A5:F5"/>
    <mergeCell ref="B7:F7"/>
    <mergeCell ref="A24:F24"/>
    <mergeCell ref="B8:F8"/>
    <mergeCell ref="C50:D50"/>
    <mergeCell ref="C44:D44"/>
    <mergeCell ref="C45:D45"/>
    <mergeCell ref="C1:E1"/>
    <mergeCell ref="B2:E2"/>
    <mergeCell ref="A3:F3"/>
    <mergeCell ref="A25:F25"/>
    <mergeCell ref="A26:F26"/>
    <mergeCell ref="A27:F27"/>
    <mergeCell ref="A28:F28"/>
    <mergeCell ref="A29:F29"/>
    <mergeCell ref="A31:F31"/>
    <mergeCell ref="A32:F32"/>
    <mergeCell ref="A33:F33"/>
    <mergeCell ref="A34:F34"/>
    <mergeCell ref="A35:F35"/>
    <mergeCell ref="C41:D41"/>
    <mergeCell ref="C42:D42"/>
    <mergeCell ref="C43:D43"/>
    <mergeCell ref="A36:F36"/>
    <mergeCell ref="A37:F37"/>
    <mergeCell ref="A38:F38"/>
    <mergeCell ref="A39:F39"/>
    <mergeCell ref="A40:F40"/>
    <mergeCell ref="A42:B42"/>
    <mergeCell ref="A43:B43"/>
  </mergeCells>
  <dataValidations count="1">
    <dataValidation type="list" allowBlank="1" showErrorMessage="1" sqref="E59:E61" xr:uid="{00000000-0002-0000-0000-000000000000}">
      <formula1>Financiamiento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35.85546875" customWidth="1"/>
    <col min="3" max="4" width="18.42578125" customWidth="1"/>
    <col min="5" max="5" width="27.140625" customWidth="1"/>
    <col min="6" max="6" width="29.5703125" customWidth="1"/>
    <col min="7" max="7" width="20.28515625" customWidth="1"/>
    <col min="8" max="8" width="23.140625" customWidth="1"/>
    <col min="9" max="9" width="19.42578125" customWidth="1"/>
    <col min="10" max="26" width="10.7109375" customWidth="1"/>
  </cols>
  <sheetData>
    <row r="1" spans="2:9" ht="75.75" customHeight="1"/>
    <row r="2" spans="2:9" ht="16.5">
      <c r="B2" s="3"/>
      <c r="C2" s="3"/>
      <c r="D2" s="3"/>
      <c r="E2" s="3"/>
      <c r="F2" s="3"/>
      <c r="G2" s="3"/>
      <c r="H2" s="3"/>
      <c r="I2" s="3"/>
    </row>
    <row r="3" spans="2:9" ht="44.25" customHeight="1">
      <c r="B3" s="136" t="s">
        <v>63</v>
      </c>
      <c r="C3" s="117"/>
      <c r="D3" s="117"/>
      <c r="E3" s="117"/>
      <c r="F3" s="117"/>
      <c r="G3" s="117"/>
      <c r="H3" s="117"/>
      <c r="I3" s="118"/>
    </row>
    <row r="4" spans="2:9" ht="16.5">
      <c r="B4" s="3"/>
      <c r="C4" s="3"/>
      <c r="D4" s="3"/>
      <c r="E4" s="3"/>
      <c r="F4" s="3"/>
      <c r="G4" s="3"/>
      <c r="H4" s="3"/>
      <c r="I4" s="3"/>
    </row>
    <row r="5" spans="2:9" ht="27" customHeight="1">
      <c r="B5" s="119" t="s">
        <v>64</v>
      </c>
      <c r="C5" s="120"/>
      <c r="D5" s="120"/>
      <c r="E5" s="120"/>
      <c r="F5" s="120"/>
      <c r="G5" s="120"/>
      <c r="H5" s="120"/>
      <c r="I5" s="121"/>
    </row>
    <row r="6" spans="2:9" ht="16.5">
      <c r="B6" s="3"/>
      <c r="C6" s="3"/>
      <c r="D6" s="3"/>
      <c r="E6" s="3"/>
      <c r="F6" s="3"/>
      <c r="G6" s="3"/>
      <c r="H6" s="3"/>
      <c r="I6" s="3"/>
    </row>
    <row r="7" spans="2:9" ht="15.75">
      <c r="B7" s="38"/>
      <c r="C7" s="38"/>
      <c r="D7" s="39"/>
      <c r="E7" s="38"/>
      <c r="F7" s="38"/>
      <c r="G7" s="40" t="s">
        <v>65</v>
      </c>
      <c r="H7" s="39"/>
      <c r="I7" s="38"/>
    </row>
    <row r="8" spans="2:9" ht="15.75">
      <c r="B8" s="40" t="s">
        <v>66</v>
      </c>
      <c r="C8" s="40" t="s">
        <v>67</v>
      </c>
      <c r="D8" s="40" t="s">
        <v>68</v>
      </c>
      <c r="E8" s="40" t="s">
        <v>69</v>
      </c>
      <c r="F8" s="38"/>
      <c r="G8" s="40" t="s">
        <v>67</v>
      </c>
      <c r="H8" s="40" t="s">
        <v>68</v>
      </c>
      <c r="I8" s="40" t="s">
        <v>69</v>
      </c>
    </row>
    <row r="9" spans="2:9" ht="15.75">
      <c r="B9" s="40" t="s">
        <v>70</v>
      </c>
      <c r="C9" s="16" t="s">
        <v>71</v>
      </c>
      <c r="D9" s="41" t="s">
        <v>72</v>
      </c>
      <c r="E9" s="41" t="s">
        <v>73</v>
      </c>
      <c r="F9" s="38"/>
      <c r="G9" s="42"/>
      <c r="H9" s="16" t="s">
        <v>74</v>
      </c>
      <c r="I9" s="16" t="s">
        <v>74</v>
      </c>
    </row>
    <row r="10" spans="2:9" ht="15.75">
      <c r="B10" s="40" t="s">
        <v>75</v>
      </c>
      <c r="C10" s="43">
        <v>0.05</v>
      </c>
      <c r="D10" s="43">
        <v>0.04</v>
      </c>
      <c r="E10" s="44"/>
      <c r="F10" s="38"/>
      <c r="G10" s="43">
        <v>0.05</v>
      </c>
      <c r="H10" s="43">
        <v>0.04</v>
      </c>
      <c r="I10" s="45"/>
    </row>
    <row r="11" spans="2:9">
      <c r="B11" s="38"/>
      <c r="C11" s="46"/>
      <c r="D11" s="47"/>
      <c r="E11" s="46"/>
      <c r="F11" s="38"/>
      <c r="G11" s="46"/>
      <c r="H11" s="47"/>
      <c r="I11" s="46"/>
    </row>
    <row r="12" spans="2:9">
      <c r="B12" s="163" t="s">
        <v>76</v>
      </c>
      <c r="C12" s="124"/>
      <c r="D12" s="124"/>
      <c r="E12" s="125"/>
      <c r="F12" s="38"/>
      <c r="G12" s="38"/>
      <c r="H12" s="38"/>
      <c r="I12" s="38"/>
    </row>
    <row r="13" spans="2:9">
      <c r="B13" s="38"/>
      <c r="C13" s="38"/>
      <c r="D13" s="38"/>
      <c r="E13" s="38"/>
      <c r="F13" s="38"/>
      <c r="G13" s="38"/>
      <c r="H13" s="38"/>
      <c r="I13" s="38"/>
    </row>
    <row r="14" spans="2:9" ht="15.75">
      <c r="B14" s="40" t="s">
        <v>66</v>
      </c>
      <c r="C14" s="38"/>
      <c r="D14" s="164" t="s">
        <v>67</v>
      </c>
      <c r="E14" s="154"/>
      <c r="F14" s="164" t="s">
        <v>68</v>
      </c>
      <c r="G14" s="154"/>
      <c r="H14" s="164" t="s">
        <v>69</v>
      </c>
      <c r="I14" s="154"/>
    </row>
    <row r="15" spans="2:9" ht="15.75">
      <c r="B15" s="38"/>
      <c r="C15" s="38"/>
      <c r="D15" s="49" t="s">
        <v>77</v>
      </c>
      <c r="E15" s="50" t="s">
        <v>78</v>
      </c>
      <c r="F15" s="50" t="s">
        <v>77</v>
      </c>
      <c r="G15" s="50" t="s">
        <v>78</v>
      </c>
      <c r="H15" s="50" t="s">
        <v>77</v>
      </c>
      <c r="I15" s="50" t="s">
        <v>78</v>
      </c>
    </row>
    <row r="16" spans="2:9" ht="15.75">
      <c r="B16" s="48" t="s">
        <v>79</v>
      </c>
      <c r="C16" s="38"/>
      <c r="D16" s="51">
        <v>6000</v>
      </c>
      <c r="E16" s="52" t="s">
        <v>80</v>
      </c>
      <c r="F16" s="51">
        <v>8000</v>
      </c>
      <c r="G16" s="52" t="s">
        <v>81</v>
      </c>
      <c r="H16" s="51">
        <v>13000</v>
      </c>
      <c r="I16" s="52" t="s">
        <v>82</v>
      </c>
    </row>
    <row r="17" spans="2:9" ht="15.75">
      <c r="B17" s="53" t="s">
        <v>83</v>
      </c>
      <c r="C17" s="38"/>
      <c r="D17" s="51">
        <v>6000</v>
      </c>
      <c r="E17" s="54" t="s">
        <v>80</v>
      </c>
      <c r="F17" s="51">
        <v>8000</v>
      </c>
      <c r="G17" s="54" t="s">
        <v>81</v>
      </c>
      <c r="H17" s="51">
        <v>13000</v>
      </c>
      <c r="I17" s="54" t="s">
        <v>82</v>
      </c>
    </row>
    <row r="18" spans="2:9" ht="15.75">
      <c r="B18" s="53" t="s">
        <v>84</v>
      </c>
      <c r="C18" s="38"/>
      <c r="D18" s="51">
        <v>6000</v>
      </c>
      <c r="E18" s="54" t="s">
        <v>80</v>
      </c>
      <c r="F18" s="51">
        <v>8000</v>
      </c>
      <c r="G18" s="54" t="s">
        <v>81</v>
      </c>
      <c r="H18" s="51">
        <v>13000</v>
      </c>
      <c r="I18" s="54" t="s">
        <v>82</v>
      </c>
    </row>
    <row r="19" spans="2:9" ht="15.75">
      <c r="B19" s="53" t="s">
        <v>85</v>
      </c>
      <c r="C19" s="38"/>
      <c r="D19" s="51">
        <v>6000</v>
      </c>
      <c r="E19" s="54" t="s">
        <v>80</v>
      </c>
      <c r="F19" s="51">
        <v>8000</v>
      </c>
      <c r="G19" s="54" t="s">
        <v>81</v>
      </c>
      <c r="H19" s="51">
        <v>13000</v>
      </c>
      <c r="I19" s="54" t="s">
        <v>82</v>
      </c>
    </row>
    <row r="20" spans="2:9" ht="15.75">
      <c r="B20" s="53" t="s">
        <v>86</v>
      </c>
      <c r="C20" s="38"/>
      <c r="D20" s="51">
        <v>6000</v>
      </c>
      <c r="E20" s="54" t="s">
        <v>80</v>
      </c>
      <c r="F20" s="51">
        <v>8000</v>
      </c>
      <c r="G20" s="54" t="s">
        <v>81</v>
      </c>
      <c r="H20" s="51">
        <v>13000</v>
      </c>
      <c r="I20" s="54" t="s">
        <v>82</v>
      </c>
    </row>
    <row r="21" spans="2:9" ht="15.75" customHeight="1">
      <c r="B21" s="53" t="s">
        <v>87</v>
      </c>
      <c r="C21" s="38"/>
      <c r="D21" s="51">
        <v>6000</v>
      </c>
      <c r="E21" s="54" t="s">
        <v>80</v>
      </c>
      <c r="F21" s="51">
        <v>8000</v>
      </c>
      <c r="G21" s="54" t="s">
        <v>81</v>
      </c>
      <c r="H21" s="51">
        <v>13000</v>
      </c>
      <c r="I21" s="54" t="s">
        <v>82</v>
      </c>
    </row>
    <row r="22" spans="2:9" ht="15.75" customHeight="1">
      <c r="B22" s="53" t="s">
        <v>88</v>
      </c>
      <c r="C22" s="38"/>
      <c r="D22" s="51">
        <v>6000</v>
      </c>
      <c r="E22" s="54" t="s">
        <v>80</v>
      </c>
      <c r="F22" s="51">
        <v>8000</v>
      </c>
      <c r="G22" s="54" t="s">
        <v>81</v>
      </c>
      <c r="H22" s="51">
        <v>13000</v>
      </c>
      <c r="I22" s="54" t="s">
        <v>82</v>
      </c>
    </row>
    <row r="23" spans="2:9" ht="15.75" customHeight="1">
      <c r="B23" s="53" t="s">
        <v>89</v>
      </c>
      <c r="C23" s="38"/>
      <c r="D23" s="51">
        <v>6000</v>
      </c>
      <c r="E23" s="54" t="s">
        <v>80</v>
      </c>
      <c r="F23" s="51">
        <v>8000</v>
      </c>
      <c r="G23" s="54" t="s">
        <v>81</v>
      </c>
      <c r="H23" s="51">
        <v>13000</v>
      </c>
      <c r="I23" s="54" t="s">
        <v>82</v>
      </c>
    </row>
    <row r="24" spans="2:9" ht="15.75" customHeight="1">
      <c r="B24" s="53" t="s">
        <v>90</v>
      </c>
      <c r="C24" s="38"/>
      <c r="D24" s="51">
        <v>6000</v>
      </c>
      <c r="E24" s="54" t="s">
        <v>80</v>
      </c>
      <c r="F24" s="51">
        <v>8000</v>
      </c>
      <c r="G24" s="54" t="s">
        <v>81</v>
      </c>
      <c r="H24" s="51">
        <v>13000</v>
      </c>
      <c r="I24" s="54" t="s">
        <v>82</v>
      </c>
    </row>
    <row r="25" spans="2:9" ht="15.75" customHeight="1">
      <c r="B25" s="53" t="s">
        <v>91</v>
      </c>
      <c r="C25" s="38"/>
      <c r="D25" s="51">
        <v>6000</v>
      </c>
      <c r="E25" s="54" t="s">
        <v>80</v>
      </c>
      <c r="F25" s="51">
        <v>8000</v>
      </c>
      <c r="G25" s="54" t="s">
        <v>81</v>
      </c>
      <c r="H25" s="51">
        <v>13000</v>
      </c>
      <c r="I25" s="54" t="s">
        <v>82</v>
      </c>
    </row>
    <row r="26" spans="2:9" ht="15.75" customHeight="1">
      <c r="B26" s="53" t="s">
        <v>92</v>
      </c>
      <c r="C26" s="38"/>
      <c r="D26" s="51">
        <v>6000</v>
      </c>
      <c r="E26" s="54" t="s">
        <v>80</v>
      </c>
      <c r="F26" s="51">
        <v>8000</v>
      </c>
      <c r="G26" s="54" t="s">
        <v>81</v>
      </c>
      <c r="H26" s="51">
        <v>13000</v>
      </c>
      <c r="I26" s="54" t="s">
        <v>82</v>
      </c>
    </row>
    <row r="27" spans="2:9" ht="15.75" customHeight="1">
      <c r="B27" s="53" t="s">
        <v>93</v>
      </c>
      <c r="C27" s="38"/>
      <c r="D27" s="51">
        <v>6000</v>
      </c>
      <c r="E27" s="55" t="s">
        <v>80</v>
      </c>
      <c r="F27" s="51">
        <v>8000</v>
      </c>
      <c r="G27" s="55" t="s">
        <v>81</v>
      </c>
      <c r="H27" s="51">
        <v>13000</v>
      </c>
      <c r="I27" s="55" t="s">
        <v>82</v>
      </c>
    </row>
    <row r="28" spans="2:9" ht="15.75" customHeight="1">
      <c r="B28" s="53" t="s">
        <v>22</v>
      </c>
      <c r="C28" s="56"/>
      <c r="D28" s="57">
        <v>72000</v>
      </c>
      <c r="E28" s="58" t="s">
        <v>94</v>
      </c>
      <c r="F28" s="59">
        <v>96000</v>
      </c>
      <c r="G28" s="60" t="s">
        <v>95</v>
      </c>
      <c r="H28" s="59">
        <v>156000</v>
      </c>
      <c r="I28" s="60" t="s">
        <v>96</v>
      </c>
    </row>
    <row r="29" spans="2:9" ht="15.75" customHeight="1">
      <c r="B29" s="38"/>
      <c r="C29" s="38"/>
      <c r="D29" s="38"/>
      <c r="E29" s="39"/>
      <c r="F29" s="38"/>
      <c r="G29" s="39"/>
      <c r="H29" s="38"/>
      <c r="I29" s="39"/>
    </row>
    <row r="30" spans="2:9" ht="15.75" customHeight="1">
      <c r="B30" s="38"/>
      <c r="C30" s="38"/>
      <c r="D30" s="38"/>
      <c r="E30" s="38"/>
      <c r="F30" s="38"/>
      <c r="G30" s="38"/>
      <c r="H30" s="38"/>
      <c r="I30" s="38"/>
    </row>
    <row r="31" spans="2:9" ht="15.75" customHeight="1">
      <c r="B31" s="40" t="s">
        <v>65</v>
      </c>
      <c r="C31" s="38"/>
      <c r="D31" s="164" t="s">
        <v>67</v>
      </c>
      <c r="E31" s="154"/>
      <c r="F31" s="164" t="s">
        <v>68</v>
      </c>
      <c r="G31" s="154"/>
      <c r="H31" s="164" t="s">
        <v>69</v>
      </c>
      <c r="I31" s="154"/>
    </row>
    <row r="32" spans="2:9" ht="15.75" customHeight="1">
      <c r="B32" s="38"/>
      <c r="C32" s="38"/>
      <c r="D32" s="40" t="s">
        <v>77</v>
      </c>
      <c r="E32" s="40" t="s">
        <v>78</v>
      </c>
      <c r="F32" s="40" t="s">
        <v>77</v>
      </c>
      <c r="G32" s="40" t="s">
        <v>78</v>
      </c>
      <c r="H32" s="40" t="s">
        <v>77</v>
      </c>
      <c r="I32" s="40" t="s">
        <v>78</v>
      </c>
    </row>
    <row r="33" spans="2:9" ht="15.75" customHeight="1">
      <c r="B33" s="40" t="s">
        <v>79</v>
      </c>
      <c r="C33" s="38"/>
      <c r="D33" s="61"/>
      <c r="E33" s="52" t="s">
        <v>74</v>
      </c>
      <c r="F33" s="61"/>
      <c r="G33" s="52" t="s">
        <v>74</v>
      </c>
      <c r="H33" s="61"/>
      <c r="I33" s="52" t="s">
        <v>74</v>
      </c>
    </row>
    <row r="34" spans="2:9" ht="15.75" customHeight="1">
      <c r="B34" s="40" t="s">
        <v>83</v>
      </c>
      <c r="C34" s="38"/>
      <c r="D34" s="61"/>
      <c r="E34" s="54" t="s">
        <v>74</v>
      </c>
      <c r="F34" s="61"/>
      <c r="G34" s="54" t="s">
        <v>74</v>
      </c>
      <c r="H34" s="61"/>
      <c r="I34" s="54" t="s">
        <v>74</v>
      </c>
    </row>
    <row r="35" spans="2:9" ht="15.75" customHeight="1">
      <c r="B35" s="40" t="s">
        <v>84</v>
      </c>
      <c r="C35" s="38"/>
      <c r="D35" s="61"/>
      <c r="E35" s="54" t="s">
        <v>74</v>
      </c>
      <c r="F35" s="61"/>
      <c r="G35" s="54" t="s">
        <v>74</v>
      </c>
      <c r="H35" s="61"/>
      <c r="I35" s="54" t="s">
        <v>74</v>
      </c>
    </row>
    <row r="36" spans="2:9" ht="15.75" customHeight="1">
      <c r="B36" s="40" t="s">
        <v>85</v>
      </c>
      <c r="C36" s="38"/>
      <c r="D36" s="61"/>
      <c r="E36" s="54" t="s">
        <v>74</v>
      </c>
      <c r="F36" s="61"/>
      <c r="G36" s="54" t="s">
        <v>74</v>
      </c>
      <c r="H36" s="61"/>
      <c r="I36" s="54" t="s">
        <v>74</v>
      </c>
    </row>
    <row r="37" spans="2:9" ht="15.75" customHeight="1">
      <c r="B37" s="40" t="s">
        <v>86</v>
      </c>
      <c r="C37" s="38"/>
      <c r="D37" s="61"/>
      <c r="E37" s="54" t="s">
        <v>74</v>
      </c>
      <c r="F37" s="61"/>
      <c r="G37" s="54" t="s">
        <v>74</v>
      </c>
      <c r="H37" s="61"/>
      <c r="I37" s="54" t="s">
        <v>74</v>
      </c>
    </row>
    <row r="38" spans="2:9" ht="15.75" customHeight="1">
      <c r="B38" s="40" t="s">
        <v>87</v>
      </c>
      <c r="C38" s="38"/>
      <c r="D38" s="61"/>
      <c r="E38" s="54" t="s">
        <v>74</v>
      </c>
      <c r="F38" s="61"/>
      <c r="G38" s="54" t="s">
        <v>74</v>
      </c>
      <c r="H38" s="61"/>
      <c r="I38" s="54" t="s">
        <v>74</v>
      </c>
    </row>
    <row r="39" spans="2:9" ht="15.75" customHeight="1">
      <c r="B39" s="40" t="s">
        <v>88</v>
      </c>
      <c r="C39" s="38"/>
      <c r="D39" s="61"/>
      <c r="E39" s="54" t="s">
        <v>74</v>
      </c>
      <c r="F39" s="61"/>
      <c r="G39" s="54" t="s">
        <v>74</v>
      </c>
      <c r="H39" s="61"/>
      <c r="I39" s="54" t="s">
        <v>74</v>
      </c>
    </row>
    <row r="40" spans="2:9" ht="15.75" customHeight="1">
      <c r="B40" s="40" t="s">
        <v>89</v>
      </c>
      <c r="C40" s="38"/>
      <c r="D40" s="61"/>
      <c r="E40" s="54" t="s">
        <v>74</v>
      </c>
      <c r="F40" s="61"/>
      <c r="G40" s="54" t="s">
        <v>74</v>
      </c>
      <c r="H40" s="61"/>
      <c r="I40" s="54" t="s">
        <v>74</v>
      </c>
    </row>
    <row r="41" spans="2:9" ht="15.75" customHeight="1">
      <c r="B41" s="40" t="s">
        <v>90</v>
      </c>
      <c r="C41" s="38"/>
      <c r="D41" s="61"/>
      <c r="E41" s="54" t="s">
        <v>74</v>
      </c>
      <c r="F41" s="61"/>
      <c r="G41" s="54" t="s">
        <v>74</v>
      </c>
      <c r="H41" s="61"/>
      <c r="I41" s="54" t="s">
        <v>74</v>
      </c>
    </row>
    <row r="42" spans="2:9" ht="15.75" customHeight="1">
      <c r="B42" s="40" t="s">
        <v>91</v>
      </c>
      <c r="C42" s="38"/>
      <c r="D42" s="61"/>
      <c r="E42" s="54" t="s">
        <v>74</v>
      </c>
      <c r="F42" s="61"/>
      <c r="G42" s="54" t="s">
        <v>74</v>
      </c>
      <c r="H42" s="61"/>
      <c r="I42" s="54" t="s">
        <v>74</v>
      </c>
    </row>
    <row r="43" spans="2:9" ht="15.75" customHeight="1">
      <c r="B43" s="40" t="s">
        <v>92</v>
      </c>
      <c r="C43" s="38"/>
      <c r="D43" s="61"/>
      <c r="E43" s="54" t="s">
        <v>74</v>
      </c>
      <c r="F43" s="61"/>
      <c r="G43" s="54" t="s">
        <v>74</v>
      </c>
      <c r="H43" s="61"/>
      <c r="I43" s="54" t="s">
        <v>74</v>
      </c>
    </row>
    <row r="44" spans="2:9" ht="15.75" customHeight="1">
      <c r="B44" s="40" t="s">
        <v>93</v>
      </c>
      <c r="C44" s="38"/>
      <c r="D44" s="61"/>
      <c r="E44" s="54" t="s">
        <v>74</v>
      </c>
      <c r="F44" s="61"/>
      <c r="G44" s="54" t="s">
        <v>74</v>
      </c>
      <c r="H44" s="61"/>
      <c r="I44" s="54" t="s">
        <v>74</v>
      </c>
    </row>
    <row r="45" spans="2:9" ht="15.75" customHeight="1">
      <c r="B45" s="49" t="s">
        <v>22</v>
      </c>
      <c r="C45" s="56"/>
      <c r="D45" s="57">
        <v>0</v>
      </c>
      <c r="E45" s="58" t="s">
        <v>74</v>
      </c>
      <c r="F45" s="59">
        <v>0</v>
      </c>
      <c r="G45" s="60" t="s">
        <v>74</v>
      </c>
      <c r="H45" s="59">
        <v>0</v>
      </c>
      <c r="I45" s="60" t="s">
        <v>74</v>
      </c>
    </row>
    <row r="46" spans="2:9" ht="15.75" customHeight="1">
      <c r="B46" s="62"/>
      <c r="C46" s="56"/>
      <c r="D46" s="56"/>
      <c r="E46" s="63"/>
      <c r="F46" s="56"/>
      <c r="G46" s="63"/>
      <c r="H46" s="56"/>
      <c r="I46" s="63"/>
    </row>
    <row r="47" spans="2:9" ht="15.75" customHeight="1">
      <c r="B47" s="56"/>
      <c r="C47" s="56"/>
      <c r="D47" s="56"/>
      <c r="E47" s="63"/>
      <c r="F47" s="56"/>
      <c r="G47" s="63"/>
      <c r="H47" s="56"/>
      <c r="I47" s="63"/>
    </row>
    <row r="48" spans="2:9" ht="15.75" customHeight="1">
      <c r="B48" s="153" t="s">
        <v>97</v>
      </c>
      <c r="C48" s="154"/>
      <c r="D48" s="155" t="s">
        <v>67</v>
      </c>
      <c r="E48" s="125"/>
      <c r="F48" s="151" t="s">
        <v>68</v>
      </c>
      <c r="G48" s="125"/>
      <c r="H48" s="151" t="s">
        <v>69</v>
      </c>
      <c r="I48" s="125"/>
    </row>
    <row r="49" spans="2:12" ht="15.75" customHeight="1">
      <c r="B49" s="153" t="s">
        <v>78</v>
      </c>
      <c r="C49" s="127"/>
      <c r="D49" s="156" t="s">
        <v>94</v>
      </c>
      <c r="E49" s="125"/>
      <c r="F49" s="157" t="s">
        <v>95</v>
      </c>
      <c r="G49" s="125"/>
      <c r="H49" s="157" t="s">
        <v>96</v>
      </c>
      <c r="I49" s="125"/>
    </row>
    <row r="50" spans="2:12" ht="15.75" customHeight="1">
      <c r="B50" s="160"/>
      <c r="C50" s="127"/>
      <c r="D50" s="161"/>
      <c r="E50" s="162"/>
      <c r="F50" s="161"/>
      <c r="G50" s="162"/>
      <c r="H50" s="161"/>
      <c r="I50" s="162"/>
    </row>
    <row r="51" spans="2:12" ht="15.75" customHeight="1">
      <c r="B51" s="3"/>
      <c r="C51" s="3"/>
      <c r="D51" s="3"/>
      <c r="E51" s="3"/>
      <c r="F51" s="3"/>
      <c r="G51" s="3"/>
      <c r="H51" s="3"/>
      <c r="I51" s="3"/>
    </row>
    <row r="52" spans="2:12" ht="33" customHeight="1">
      <c r="B52" s="119" t="s">
        <v>98</v>
      </c>
      <c r="C52" s="120"/>
      <c r="D52" s="120"/>
      <c r="E52" s="120"/>
      <c r="F52" s="120"/>
      <c r="G52" s="120"/>
      <c r="H52" s="120"/>
      <c r="I52" s="121"/>
    </row>
    <row r="53" spans="2:12" ht="15.75" customHeight="1">
      <c r="B53" s="3"/>
      <c r="C53" s="3"/>
      <c r="D53" s="3"/>
      <c r="E53" s="3"/>
      <c r="F53" s="3"/>
      <c r="G53" s="3"/>
      <c r="H53" s="3"/>
      <c r="I53" s="3"/>
    </row>
    <row r="54" spans="2:12" ht="16.5" customHeight="1">
      <c r="B54" s="165" t="s">
        <v>99</v>
      </c>
      <c r="C54" s="166"/>
      <c r="D54" s="166"/>
      <c r="E54" s="166"/>
      <c r="F54" s="166"/>
      <c r="G54" s="166"/>
      <c r="H54" s="167"/>
      <c r="I54" s="3"/>
    </row>
    <row r="55" spans="2:12" ht="15.75" customHeight="1">
      <c r="B55" s="64" t="s">
        <v>100</v>
      </c>
      <c r="C55" s="64" t="s">
        <v>101</v>
      </c>
      <c r="D55" s="64" t="s">
        <v>102</v>
      </c>
      <c r="E55" s="65" t="s">
        <v>103</v>
      </c>
      <c r="F55" s="64" t="s">
        <v>104</v>
      </c>
      <c r="G55" s="64" t="s">
        <v>105</v>
      </c>
      <c r="H55" s="65" t="s">
        <v>106</v>
      </c>
      <c r="I55" s="3"/>
      <c r="J55" s="3"/>
      <c r="K55" s="3"/>
      <c r="L55" s="3"/>
    </row>
    <row r="56" spans="2:12" ht="15.75" customHeight="1">
      <c r="B56" s="66" t="s">
        <v>107</v>
      </c>
      <c r="C56" s="67" t="s">
        <v>108</v>
      </c>
      <c r="D56" s="67" t="s">
        <v>109</v>
      </c>
      <c r="E56" s="67">
        <v>25000</v>
      </c>
      <c r="F56" s="68">
        <v>5000</v>
      </c>
      <c r="G56" s="69">
        <f t="shared" ref="G56:G63" si="0">1/F56</f>
        <v>2.0000000000000001E-4</v>
      </c>
      <c r="H56" s="70">
        <f t="shared" ref="H56:H63" si="1">+E56*G56</f>
        <v>5</v>
      </c>
      <c r="I56" s="3"/>
      <c r="J56" s="3"/>
      <c r="K56" s="3"/>
      <c r="L56" s="3"/>
    </row>
    <row r="57" spans="2:12" ht="15.75" customHeight="1">
      <c r="B57" s="66"/>
      <c r="C57" s="67"/>
      <c r="D57" s="67"/>
      <c r="E57" s="67"/>
      <c r="F57" s="68">
        <v>1</v>
      </c>
      <c r="G57" s="69">
        <f t="shared" si="0"/>
        <v>1</v>
      </c>
      <c r="H57" s="71">
        <f t="shared" si="1"/>
        <v>0</v>
      </c>
      <c r="I57" s="3"/>
      <c r="J57" s="3"/>
      <c r="K57" s="3"/>
      <c r="L57" s="3"/>
    </row>
    <row r="58" spans="2:12" ht="15.75" customHeight="1">
      <c r="B58" s="66"/>
      <c r="C58" s="67"/>
      <c r="D58" s="67"/>
      <c r="E58" s="67"/>
      <c r="F58" s="68">
        <v>1</v>
      </c>
      <c r="G58" s="69">
        <f t="shared" si="0"/>
        <v>1</v>
      </c>
      <c r="H58" s="71">
        <f t="shared" si="1"/>
        <v>0</v>
      </c>
      <c r="I58" s="3"/>
      <c r="J58" s="3"/>
      <c r="K58" s="3"/>
      <c r="L58" s="3"/>
    </row>
    <row r="59" spans="2:12" ht="15.75" customHeight="1">
      <c r="B59" s="66"/>
      <c r="C59" s="67"/>
      <c r="D59" s="67"/>
      <c r="E59" s="67"/>
      <c r="F59" s="68">
        <v>1</v>
      </c>
      <c r="G59" s="69">
        <f t="shared" si="0"/>
        <v>1</v>
      </c>
      <c r="H59" s="71">
        <f t="shared" si="1"/>
        <v>0</v>
      </c>
      <c r="I59" s="3"/>
      <c r="J59" s="3"/>
      <c r="K59" s="3"/>
      <c r="L59" s="3"/>
    </row>
    <row r="60" spans="2:12" ht="15.75" customHeight="1">
      <c r="B60" s="66"/>
      <c r="C60" s="67"/>
      <c r="D60" s="67"/>
      <c r="E60" s="67"/>
      <c r="F60" s="68">
        <v>1</v>
      </c>
      <c r="G60" s="69">
        <f t="shared" si="0"/>
        <v>1</v>
      </c>
      <c r="H60" s="71">
        <f t="shared" si="1"/>
        <v>0</v>
      </c>
      <c r="I60" s="3"/>
      <c r="J60" s="3"/>
      <c r="K60" s="3"/>
      <c r="L60" s="3"/>
    </row>
    <row r="61" spans="2:12" ht="15.75" customHeight="1">
      <c r="B61" s="66"/>
      <c r="C61" s="67"/>
      <c r="D61" s="67"/>
      <c r="E61" s="67"/>
      <c r="F61" s="68">
        <v>1</v>
      </c>
      <c r="G61" s="69">
        <f t="shared" si="0"/>
        <v>1</v>
      </c>
      <c r="H61" s="71">
        <f t="shared" si="1"/>
        <v>0</v>
      </c>
      <c r="I61" s="3"/>
      <c r="J61" s="3"/>
      <c r="K61" s="3"/>
      <c r="L61" s="3"/>
    </row>
    <row r="62" spans="2:12" ht="15.75" customHeight="1">
      <c r="B62" s="66"/>
      <c r="C62" s="67"/>
      <c r="D62" s="67"/>
      <c r="E62" s="67"/>
      <c r="F62" s="68">
        <v>1</v>
      </c>
      <c r="G62" s="69">
        <f t="shared" si="0"/>
        <v>1</v>
      </c>
      <c r="H62" s="71">
        <f t="shared" si="1"/>
        <v>0</v>
      </c>
      <c r="I62" s="3"/>
      <c r="J62" s="3"/>
      <c r="K62" s="3"/>
      <c r="L62" s="3"/>
    </row>
    <row r="63" spans="2:12" ht="15.75" customHeight="1">
      <c r="B63" s="66"/>
      <c r="C63" s="67"/>
      <c r="D63" s="67"/>
      <c r="E63" s="67"/>
      <c r="F63" s="68">
        <v>1</v>
      </c>
      <c r="G63" s="69">
        <f t="shared" si="0"/>
        <v>1</v>
      </c>
      <c r="H63" s="72">
        <f t="shared" si="1"/>
        <v>0</v>
      </c>
      <c r="I63" s="3"/>
      <c r="J63" s="3"/>
      <c r="K63" s="3"/>
      <c r="L63" s="3"/>
    </row>
    <row r="64" spans="2:12" ht="15.75" customHeight="1">
      <c r="B64" s="73"/>
      <c r="C64" s="73"/>
      <c r="D64" s="73"/>
      <c r="E64" s="3"/>
      <c r="F64" s="3"/>
      <c r="G64" s="65" t="s">
        <v>110</v>
      </c>
      <c r="H64" s="74">
        <f>H56+H57+H58+H59+H60+H61+H62+H63</f>
        <v>5</v>
      </c>
      <c r="I64" s="3"/>
      <c r="J64" s="3"/>
      <c r="K64" s="3"/>
      <c r="L64" s="3"/>
    </row>
    <row r="65" spans="2:13" ht="15.75" customHeight="1">
      <c r="B65" s="3"/>
      <c r="C65" s="3"/>
      <c r="D65" s="3"/>
      <c r="E65" s="3"/>
      <c r="F65" s="3"/>
      <c r="G65" s="3"/>
      <c r="H65" s="3"/>
      <c r="I65" s="3"/>
    </row>
    <row r="66" spans="2:13" ht="16.5" customHeight="1">
      <c r="B66" s="165" t="s">
        <v>99</v>
      </c>
      <c r="C66" s="166"/>
      <c r="D66" s="166"/>
      <c r="E66" s="166"/>
      <c r="F66" s="166"/>
      <c r="G66" s="166"/>
      <c r="H66" s="167"/>
      <c r="I66" s="3"/>
    </row>
    <row r="67" spans="2:13" ht="15.75" customHeight="1">
      <c r="B67" s="64" t="s">
        <v>100</v>
      </c>
      <c r="C67" s="64" t="s">
        <v>101</v>
      </c>
      <c r="D67" s="64" t="s">
        <v>102</v>
      </c>
      <c r="E67" s="65" t="s">
        <v>103</v>
      </c>
      <c r="F67" s="64" t="s">
        <v>104</v>
      </c>
      <c r="G67" s="64" t="s">
        <v>105</v>
      </c>
      <c r="H67" s="65" t="s">
        <v>106</v>
      </c>
      <c r="I67" s="3"/>
      <c r="J67" s="3"/>
      <c r="K67" s="3"/>
      <c r="L67" s="3"/>
      <c r="M67" s="3"/>
    </row>
    <row r="68" spans="2:13" ht="15.75" customHeight="1">
      <c r="B68" s="66" t="s">
        <v>107</v>
      </c>
      <c r="C68" s="67" t="s">
        <v>108</v>
      </c>
      <c r="D68" s="67" t="s">
        <v>109</v>
      </c>
      <c r="E68" s="67">
        <v>35000</v>
      </c>
      <c r="F68" s="68">
        <v>1000</v>
      </c>
      <c r="G68" s="69">
        <f t="shared" ref="G68:G75" si="2">1/F68</f>
        <v>1E-3</v>
      </c>
      <c r="H68" s="70">
        <f t="shared" ref="H68:H75" si="3">+E68*G68</f>
        <v>35</v>
      </c>
      <c r="I68" s="3"/>
      <c r="J68" s="3"/>
      <c r="K68" s="3"/>
      <c r="L68" s="3"/>
      <c r="M68" s="3"/>
    </row>
    <row r="69" spans="2:13" ht="15.75" customHeight="1">
      <c r="B69" s="66"/>
      <c r="C69" s="67"/>
      <c r="D69" s="67"/>
      <c r="E69" s="67"/>
      <c r="F69" s="68">
        <v>1</v>
      </c>
      <c r="G69" s="69">
        <f t="shared" si="2"/>
        <v>1</v>
      </c>
      <c r="H69" s="70">
        <f t="shared" si="3"/>
        <v>0</v>
      </c>
      <c r="I69" s="3"/>
      <c r="J69" s="3"/>
      <c r="K69" s="3"/>
      <c r="L69" s="3"/>
      <c r="M69" s="3"/>
    </row>
    <row r="70" spans="2:13" ht="15.75" customHeight="1">
      <c r="B70" s="66"/>
      <c r="C70" s="67"/>
      <c r="D70" s="67"/>
      <c r="E70" s="67"/>
      <c r="F70" s="68">
        <v>1</v>
      </c>
      <c r="G70" s="69">
        <f t="shared" si="2"/>
        <v>1</v>
      </c>
      <c r="H70" s="70">
        <f t="shared" si="3"/>
        <v>0</v>
      </c>
      <c r="I70" s="3"/>
      <c r="J70" s="3"/>
      <c r="K70" s="3"/>
      <c r="L70" s="3"/>
      <c r="M70" s="3"/>
    </row>
    <row r="71" spans="2:13" ht="15.75" customHeight="1">
      <c r="B71" s="66"/>
      <c r="C71" s="67"/>
      <c r="D71" s="67"/>
      <c r="E71" s="67"/>
      <c r="F71" s="68">
        <v>1</v>
      </c>
      <c r="G71" s="69">
        <f t="shared" si="2"/>
        <v>1</v>
      </c>
      <c r="H71" s="70">
        <f t="shared" si="3"/>
        <v>0</v>
      </c>
      <c r="I71" s="3"/>
      <c r="J71" s="3"/>
      <c r="K71" s="3"/>
      <c r="L71" s="3"/>
      <c r="M71" s="3"/>
    </row>
    <row r="72" spans="2:13" ht="15.75" customHeight="1">
      <c r="B72" s="66"/>
      <c r="C72" s="67"/>
      <c r="D72" s="67"/>
      <c r="E72" s="67"/>
      <c r="F72" s="68">
        <v>1</v>
      </c>
      <c r="G72" s="69">
        <f t="shared" si="2"/>
        <v>1</v>
      </c>
      <c r="H72" s="70">
        <f t="shared" si="3"/>
        <v>0</v>
      </c>
      <c r="I72" s="3"/>
      <c r="J72" s="3"/>
      <c r="K72" s="3"/>
      <c r="L72" s="3"/>
      <c r="M72" s="3"/>
    </row>
    <row r="73" spans="2:13" ht="15.75" customHeight="1">
      <c r="B73" s="66"/>
      <c r="C73" s="67"/>
      <c r="D73" s="67"/>
      <c r="E73" s="67"/>
      <c r="F73" s="68">
        <v>1</v>
      </c>
      <c r="G73" s="69">
        <f t="shared" si="2"/>
        <v>1</v>
      </c>
      <c r="H73" s="70">
        <f t="shared" si="3"/>
        <v>0</v>
      </c>
      <c r="I73" s="3"/>
      <c r="J73" s="3"/>
      <c r="K73" s="3"/>
      <c r="L73" s="3"/>
      <c r="M73" s="3"/>
    </row>
    <row r="74" spans="2:13" ht="15.75" customHeight="1">
      <c r="B74" s="66"/>
      <c r="C74" s="67"/>
      <c r="D74" s="67"/>
      <c r="E74" s="67"/>
      <c r="F74" s="68">
        <v>1</v>
      </c>
      <c r="G74" s="69">
        <f t="shared" si="2"/>
        <v>1</v>
      </c>
      <c r="H74" s="70">
        <f t="shared" si="3"/>
        <v>0</v>
      </c>
      <c r="I74" s="3"/>
      <c r="J74" s="3"/>
      <c r="K74" s="3"/>
      <c r="L74" s="3"/>
      <c r="M74" s="3"/>
    </row>
    <row r="75" spans="2:13" ht="15.75" customHeight="1">
      <c r="B75" s="66"/>
      <c r="C75" s="67"/>
      <c r="D75" s="67"/>
      <c r="E75" s="67"/>
      <c r="F75" s="68">
        <v>1</v>
      </c>
      <c r="G75" s="69">
        <f t="shared" si="2"/>
        <v>1</v>
      </c>
      <c r="H75" s="75">
        <f t="shared" si="3"/>
        <v>0</v>
      </c>
      <c r="I75" s="3"/>
      <c r="J75" s="3"/>
      <c r="K75" s="3"/>
      <c r="L75" s="3"/>
      <c r="M75" s="3"/>
    </row>
    <row r="76" spans="2:13" ht="15.75" customHeight="1">
      <c r="B76" s="73"/>
      <c r="C76" s="73"/>
      <c r="D76" s="73"/>
      <c r="E76" s="3"/>
      <c r="F76" s="3"/>
      <c r="G76" s="65" t="s">
        <v>110</v>
      </c>
      <c r="H76" s="76">
        <f>SUM(H68:H75)</f>
        <v>35</v>
      </c>
      <c r="I76" s="3"/>
      <c r="J76" s="3"/>
      <c r="K76" s="3"/>
      <c r="L76" s="3"/>
      <c r="M76" s="3"/>
    </row>
    <row r="77" spans="2:13" ht="15.75" customHeight="1">
      <c r="B77" s="3"/>
      <c r="C77" s="3"/>
      <c r="D77" s="3"/>
      <c r="E77" s="3"/>
      <c r="F77" s="3"/>
      <c r="G77" s="3"/>
      <c r="H77" s="3"/>
      <c r="I77" s="3"/>
    </row>
    <row r="78" spans="2:13" ht="15.75" customHeight="1">
      <c r="B78" s="151" t="s">
        <v>111</v>
      </c>
      <c r="C78" s="124"/>
      <c r="D78" s="124"/>
      <c r="E78" s="125"/>
      <c r="F78" s="38"/>
      <c r="G78" s="151" t="s">
        <v>112</v>
      </c>
      <c r="H78" s="124"/>
      <c r="I78" s="125"/>
    </row>
    <row r="79" spans="2:13" ht="15.75" customHeight="1">
      <c r="B79" s="77" t="s">
        <v>113</v>
      </c>
      <c r="C79" s="40" t="s">
        <v>103</v>
      </c>
      <c r="D79" s="40" t="s">
        <v>6</v>
      </c>
      <c r="E79" s="40" t="s">
        <v>106</v>
      </c>
      <c r="F79" s="38"/>
      <c r="G79" s="164" t="s">
        <v>113</v>
      </c>
      <c r="H79" s="127"/>
      <c r="I79" s="77" t="s">
        <v>103</v>
      </c>
    </row>
    <row r="80" spans="2:13" ht="15.75" customHeight="1">
      <c r="B80" s="78" t="s">
        <v>114</v>
      </c>
      <c r="C80" s="52" t="s">
        <v>115</v>
      </c>
      <c r="D80" s="51">
        <v>12</v>
      </c>
      <c r="E80" s="52" t="s">
        <v>116</v>
      </c>
      <c r="F80" s="38"/>
      <c r="G80" s="168" t="s">
        <v>117</v>
      </c>
      <c r="H80" s="127"/>
      <c r="I80" s="52" t="s">
        <v>118</v>
      </c>
    </row>
    <row r="81" spans="2:9" ht="15.75" customHeight="1">
      <c r="B81" s="78" t="s">
        <v>119</v>
      </c>
      <c r="C81" s="54" t="s">
        <v>120</v>
      </c>
      <c r="D81" s="51">
        <v>12</v>
      </c>
      <c r="E81" s="54" t="s">
        <v>121</v>
      </c>
      <c r="F81" s="38"/>
      <c r="G81" s="168" t="s">
        <v>122</v>
      </c>
      <c r="H81" s="127"/>
      <c r="I81" s="79"/>
    </row>
    <row r="82" spans="2:9" ht="15.75" customHeight="1">
      <c r="B82" s="80"/>
      <c r="C82" s="79"/>
      <c r="D82" s="61"/>
      <c r="E82" s="54" t="s">
        <v>74</v>
      </c>
      <c r="F82" s="38"/>
      <c r="G82" s="38"/>
      <c r="H82" s="40" t="s">
        <v>123</v>
      </c>
      <c r="I82" s="81" t="s">
        <v>124</v>
      </c>
    </row>
    <row r="83" spans="2:9" ht="15.75" customHeight="1">
      <c r="B83" s="80"/>
      <c r="C83" s="79"/>
      <c r="D83" s="61"/>
      <c r="E83" s="54" t="s">
        <v>74</v>
      </c>
      <c r="F83" s="38"/>
      <c r="G83" s="40" t="s">
        <v>110</v>
      </c>
      <c r="H83" s="82" t="s">
        <v>125</v>
      </c>
      <c r="I83" s="83" t="s">
        <v>74</v>
      </c>
    </row>
    <row r="84" spans="2:9" ht="15.75" customHeight="1">
      <c r="B84" s="80"/>
      <c r="C84" s="79"/>
      <c r="D84" s="61"/>
      <c r="E84" s="54" t="s">
        <v>74</v>
      </c>
      <c r="F84" s="38"/>
      <c r="G84" s="40" t="s">
        <v>126</v>
      </c>
      <c r="H84" s="84" t="s">
        <v>127</v>
      </c>
      <c r="I84" s="84" t="s">
        <v>74</v>
      </c>
    </row>
    <row r="85" spans="2:9" ht="15.75" customHeight="1">
      <c r="B85" s="80"/>
      <c r="C85" s="79"/>
      <c r="D85" s="61"/>
      <c r="E85" s="54" t="s">
        <v>74</v>
      </c>
      <c r="F85" s="38"/>
      <c r="G85" s="40" t="s">
        <v>128</v>
      </c>
      <c r="H85" s="84" t="s">
        <v>129</v>
      </c>
      <c r="I85" s="84" t="s">
        <v>74</v>
      </c>
    </row>
    <row r="86" spans="2:9" ht="15.75" customHeight="1">
      <c r="B86" s="80"/>
      <c r="C86" s="79"/>
      <c r="D86" s="61"/>
      <c r="E86" s="54" t="s">
        <v>74</v>
      </c>
      <c r="F86" s="38"/>
      <c r="G86" s="38"/>
      <c r="H86" s="39"/>
      <c r="I86" s="85"/>
    </row>
    <row r="87" spans="2:9" ht="15.75" customHeight="1">
      <c r="B87" s="80"/>
      <c r="C87" s="79"/>
      <c r="D87" s="61"/>
      <c r="E87" s="55" t="s">
        <v>74</v>
      </c>
      <c r="F87" s="38"/>
      <c r="G87" s="38"/>
      <c r="H87" s="38"/>
      <c r="I87" s="149" t="s">
        <v>130</v>
      </c>
    </row>
    <row r="88" spans="2:9" ht="15.75" customHeight="1">
      <c r="B88" s="86"/>
      <c r="C88" s="39"/>
      <c r="D88" s="40" t="s">
        <v>110</v>
      </c>
      <c r="E88" s="87" t="s">
        <v>131</v>
      </c>
      <c r="F88" s="38"/>
      <c r="G88" s="38"/>
      <c r="H88" s="38"/>
      <c r="I88" s="150"/>
    </row>
    <row r="89" spans="2:9" ht="15.75" customHeight="1">
      <c r="B89" s="86"/>
      <c r="C89" s="38"/>
      <c r="D89" s="40" t="s">
        <v>126</v>
      </c>
      <c r="E89" s="84" t="s">
        <v>132</v>
      </c>
      <c r="F89" s="38"/>
      <c r="G89" s="38"/>
      <c r="H89" s="38"/>
      <c r="I89" s="150"/>
    </row>
    <row r="90" spans="2:9" ht="15.75" customHeight="1">
      <c r="B90" s="86"/>
      <c r="C90" s="38"/>
      <c r="D90" s="40" t="s">
        <v>128</v>
      </c>
      <c r="E90" s="84" t="s">
        <v>133</v>
      </c>
      <c r="F90" s="88"/>
      <c r="G90" s="38"/>
      <c r="H90" s="38"/>
      <c r="I90" s="150"/>
    </row>
    <row r="91" spans="2:9" ht="15.75" customHeight="1">
      <c r="B91" s="86"/>
      <c r="C91" s="38"/>
      <c r="D91" s="86"/>
      <c r="E91" s="89"/>
      <c r="F91" s="38"/>
      <c r="G91" s="38"/>
      <c r="H91" s="38"/>
      <c r="I91" s="150"/>
    </row>
    <row r="92" spans="2:9" ht="15.75" customHeight="1">
      <c r="B92" s="86"/>
      <c r="C92" s="86"/>
      <c r="D92" s="86"/>
      <c r="E92" s="90"/>
      <c r="F92" s="91"/>
      <c r="G92" s="38"/>
      <c r="H92" s="38"/>
      <c r="I92" s="150"/>
    </row>
    <row r="93" spans="2:9" ht="15.75" customHeight="1">
      <c r="B93" s="151" t="s">
        <v>134</v>
      </c>
      <c r="C93" s="124"/>
      <c r="D93" s="124"/>
      <c r="E93" s="125"/>
      <c r="F93" s="91"/>
      <c r="G93" s="38"/>
      <c r="H93" s="38"/>
      <c r="I93" s="150"/>
    </row>
    <row r="94" spans="2:9" ht="15.75" customHeight="1">
      <c r="B94" s="77" t="s">
        <v>113</v>
      </c>
      <c r="C94" s="77" t="s">
        <v>135</v>
      </c>
      <c r="D94" s="77" t="s">
        <v>136</v>
      </c>
      <c r="E94" s="77" t="s">
        <v>137</v>
      </c>
      <c r="F94" s="91"/>
      <c r="G94" s="38"/>
      <c r="H94" s="152" t="s">
        <v>138</v>
      </c>
      <c r="I94" s="150"/>
    </row>
    <row r="95" spans="2:9" ht="15.75" customHeight="1">
      <c r="B95" s="78" t="s">
        <v>139</v>
      </c>
      <c r="C95" s="52" t="s">
        <v>116</v>
      </c>
      <c r="D95" s="51" t="s">
        <v>140</v>
      </c>
      <c r="E95" s="52" t="s">
        <v>141</v>
      </c>
      <c r="F95" s="38"/>
      <c r="G95" s="38"/>
      <c r="H95" s="133"/>
      <c r="I95" s="150"/>
    </row>
    <row r="96" spans="2:9" ht="15.75" customHeight="1">
      <c r="B96" s="78" t="s">
        <v>142</v>
      </c>
      <c r="C96" s="79"/>
      <c r="D96" s="92" t="s">
        <v>74</v>
      </c>
      <c r="E96" s="54" t="s">
        <v>74</v>
      </c>
      <c r="F96" s="38"/>
      <c r="G96" s="38"/>
      <c r="H96" s="133"/>
      <c r="I96" s="150"/>
    </row>
    <row r="97" spans="2:9" ht="15.75" customHeight="1">
      <c r="B97" s="78" t="s">
        <v>143</v>
      </c>
      <c r="C97" s="79"/>
      <c r="D97" s="92" t="s">
        <v>74</v>
      </c>
      <c r="E97" s="54" t="s">
        <v>74</v>
      </c>
      <c r="F97" s="38"/>
      <c r="G97" s="38"/>
      <c r="H97" s="133"/>
      <c r="I97" s="150"/>
    </row>
    <row r="98" spans="2:9" ht="15.75" customHeight="1">
      <c r="B98" s="78" t="s">
        <v>144</v>
      </c>
      <c r="C98" s="54" t="s">
        <v>145</v>
      </c>
      <c r="D98" s="92" t="s">
        <v>146</v>
      </c>
      <c r="E98" s="54" t="s">
        <v>147</v>
      </c>
      <c r="F98" s="38"/>
      <c r="G98" s="38"/>
      <c r="H98" s="133"/>
      <c r="I98" s="150"/>
    </row>
    <row r="99" spans="2:9" ht="15.75" customHeight="1">
      <c r="B99" s="78" t="s">
        <v>148</v>
      </c>
      <c r="C99" s="79"/>
      <c r="D99" s="92" t="s">
        <v>74</v>
      </c>
      <c r="E99" s="54" t="s">
        <v>74</v>
      </c>
      <c r="F99" s="38"/>
      <c r="G99" s="38"/>
      <c r="H99" s="133"/>
      <c r="I99" s="150"/>
    </row>
    <row r="100" spans="2:9" ht="15.75" customHeight="1">
      <c r="B100" s="78" t="s">
        <v>149</v>
      </c>
      <c r="C100" s="79"/>
      <c r="D100" s="92" t="s">
        <v>74</v>
      </c>
      <c r="E100" s="54" t="s">
        <v>74</v>
      </c>
      <c r="F100" s="38"/>
      <c r="G100" s="38"/>
      <c r="H100" s="133"/>
      <c r="I100" s="150"/>
    </row>
    <row r="101" spans="2:9" ht="15.75" customHeight="1">
      <c r="B101" s="78" t="s">
        <v>150</v>
      </c>
      <c r="C101" s="79"/>
      <c r="D101" s="92" t="s">
        <v>74</v>
      </c>
      <c r="E101" s="54" t="s">
        <v>74</v>
      </c>
      <c r="F101" s="38"/>
      <c r="G101" s="38"/>
      <c r="H101" s="133"/>
      <c r="I101" s="150"/>
    </row>
    <row r="102" spans="2:9" ht="15.75" customHeight="1">
      <c r="B102" s="78" t="s">
        <v>151</v>
      </c>
      <c r="C102" s="79"/>
      <c r="D102" s="92" t="s">
        <v>74</v>
      </c>
      <c r="E102" s="54" t="s">
        <v>74</v>
      </c>
      <c r="F102" s="38"/>
      <c r="G102" s="38"/>
      <c r="H102" s="133"/>
      <c r="I102" s="150"/>
    </row>
    <row r="103" spans="2:9" ht="15.75" customHeight="1">
      <c r="B103" s="78" t="s">
        <v>22</v>
      </c>
      <c r="C103" s="93" t="s">
        <v>152</v>
      </c>
      <c r="D103" s="94" t="s">
        <v>153</v>
      </c>
      <c r="E103" s="93" t="s">
        <v>154</v>
      </c>
      <c r="F103" s="56"/>
      <c r="G103" s="38"/>
      <c r="H103" s="95"/>
      <c r="I103" s="95"/>
    </row>
    <row r="104" spans="2:9" ht="15.75" customHeight="1">
      <c r="B104" s="38"/>
      <c r="C104" s="39"/>
      <c r="D104" s="39"/>
      <c r="E104" s="39"/>
      <c r="F104" s="91"/>
      <c r="G104" s="38"/>
      <c r="H104" s="39"/>
      <c r="I104" s="39"/>
    </row>
    <row r="105" spans="2:9" ht="15.75" customHeight="1">
      <c r="B105" s="153" t="s">
        <v>97</v>
      </c>
      <c r="C105" s="154"/>
      <c r="D105" s="155" t="s">
        <v>67</v>
      </c>
      <c r="E105" s="125"/>
      <c r="F105" s="151" t="s">
        <v>68</v>
      </c>
      <c r="G105" s="125"/>
      <c r="H105" s="151" t="s">
        <v>69</v>
      </c>
      <c r="I105" s="125"/>
    </row>
    <row r="106" spans="2:9" ht="15.75" customHeight="1">
      <c r="B106" s="153" t="s">
        <v>155</v>
      </c>
      <c r="C106" s="127"/>
      <c r="D106" s="156" t="s">
        <v>156</v>
      </c>
      <c r="E106" s="125"/>
      <c r="F106" s="157" t="s">
        <v>157</v>
      </c>
      <c r="G106" s="125"/>
      <c r="H106" s="157" t="s">
        <v>158</v>
      </c>
      <c r="I106" s="125"/>
    </row>
    <row r="107" spans="2:9" ht="15.75" customHeight="1">
      <c r="B107" s="160"/>
      <c r="C107" s="127"/>
      <c r="D107" s="161"/>
      <c r="E107" s="162"/>
      <c r="F107" s="161"/>
      <c r="G107" s="162"/>
      <c r="H107" s="161"/>
      <c r="I107" s="162"/>
    </row>
    <row r="108" spans="2:9" ht="15.75" customHeight="1">
      <c r="B108" s="3"/>
      <c r="C108" s="3"/>
      <c r="D108" s="3"/>
      <c r="E108" s="3"/>
      <c r="F108" s="3"/>
      <c r="G108" s="3"/>
      <c r="H108" s="3"/>
      <c r="I108" s="3"/>
    </row>
    <row r="109" spans="2:9" ht="36.75" customHeight="1">
      <c r="B109" s="119" t="s">
        <v>159</v>
      </c>
      <c r="C109" s="120"/>
      <c r="D109" s="120"/>
      <c r="E109" s="120"/>
      <c r="F109" s="120"/>
      <c r="G109" s="120"/>
      <c r="H109" s="120"/>
      <c r="I109" s="121"/>
    </row>
    <row r="110" spans="2:9" ht="15.75" customHeight="1">
      <c r="B110" s="96"/>
      <c r="C110" s="96"/>
      <c r="D110" s="96"/>
      <c r="E110" s="96"/>
      <c r="F110" s="96"/>
      <c r="G110" s="96"/>
      <c r="H110" s="96"/>
      <c r="I110" s="96"/>
    </row>
    <row r="111" spans="2:9" ht="15.75" customHeight="1">
      <c r="B111" s="38"/>
      <c r="C111" s="38"/>
      <c r="D111" s="38"/>
      <c r="E111" s="40" t="s">
        <v>160</v>
      </c>
      <c r="F111" s="40" t="s">
        <v>161</v>
      </c>
      <c r="G111" s="40" t="s">
        <v>162</v>
      </c>
      <c r="H111" s="40" t="s">
        <v>163</v>
      </c>
      <c r="I111" s="3"/>
    </row>
    <row r="112" spans="2:9" ht="15.75" customHeight="1">
      <c r="B112" s="158" t="s">
        <v>78</v>
      </c>
      <c r="C112" s="159"/>
      <c r="D112" s="113"/>
      <c r="E112" s="79"/>
      <c r="F112" s="54" t="s">
        <v>94</v>
      </c>
      <c r="G112" s="54" t="s">
        <v>95</v>
      </c>
      <c r="H112" s="54" t="s">
        <v>96</v>
      </c>
      <c r="I112" s="3"/>
    </row>
    <row r="113" spans="2:9" ht="15.75" customHeight="1">
      <c r="B113" s="158" t="s">
        <v>155</v>
      </c>
      <c r="C113" s="159"/>
      <c r="D113" s="113"/>
      <c r="E113" s="97" t="s">
        <v>164</v>
      </c>
      <c r="F113" s="97" t="s">
        <v>156</v>
      </c>
      <c r="G113" s="97" t="s">
        <v>157</v>
      </c>
      <c r="H113" s="97" t="s">
        <v>158</v>
      </c>
      <c r="I113" s="98"/>
    </row>
    <row r="114" spans="2:9" ht="15.75" customHeight="1">
      <c r="B114" s="158" t="s">
        <v>165</v>
      </c>
      <c r="C114" s="159"/>
      <c r="D114" s="113"/>
      <c r="E114" s="99" t="s">
        <v>166</v>
      </c>
      <c r="F114" s="99" t="s">
        <v>167</v>
      </c>
      <c r="G114" s="99" t="s">
        <v>168</v>
      </c>
      <c r="H114" s="99" t="s">
        <v>169</v>
      </c>
      <c r="I114" s="3"/>
    </row>
    <row r="115" spans="2:9" ht="15.75" customHeight="1">
      <c r="B115" s="158" t="s">
        <v>170</v>
      </c>
      <c r="C115" s="159"/>
      <c r="D115" s="113"/>
      <c r="E115" s="54" t="s">
        <v>166</v>
      </c>
      <c r="F115" s="54" t="s">
        <v>171</v>
      </c>
      <c r="G115" s="54" t="s">
        <v>172</v>
      </c>
      <c r="H115" s="54" t="s">
        <v>173</v>
      </c>
      <c r="I115" s="3"/>
    </row>
    <row r="116" spans="2:9" ht="15.75" customHeight="1">
      <c r="B116" s="158" t="s">
        <v>174</v>
      </c>
      <c r="C116" s="159"/>
      <c r="D116" s="113"/>
      <c r="E116" s="92" t="s">
        <v>175</v>
      </c>
      <c r="F116" s="92" t="s">
        <v>175</v>
      </c>
      <c r="G116" s="92" t="s">
        <v>176</v>
      </c>
      <c r="H116" s="92" t="s">
        <v>176</v>
      </c>
      <c r="I116" s="3"/>
    </row>
    <row r="117" spans="2:9" ht="15.75" customHeight="1">
      <c r="B117" s="100"/>
      <c r="C117" s="100"/>
      <c r="D117" s="100"/>
      <c r="E117" s="3"/>
      <c r="F117" s="3"/>
      <c r="G117" s="3"/>
      <c r="H117" s="3"/>
      <c r="I117" s="3"/>
    </row>
    <row r="118" spans="2:9" ht="37.5" customHeight="1">
      <c r="B118" s="119" t="s">
        <v>177</v>
      </c>
      <c r="C118" s="120"/>
      <c r="D118" s="120"/>
      <c r="E118" s="120"/>
      <c r="F118" s="120"/>
      <c r="G118" s="120"/>
      <c r="H118" s="120"/>
      <c r="I118" s="121"/>
    </row>
    <row r="119" spans="2:9" ht="15.75" customHeight="1">
      <c r="B119" s="3"/>
      <c r="C119" s="3"/>
      <c r="D119" s="3"/>
      <c r="E119" s="3"/>
      <c r="F119" s="3"/>
      <c r="G119" s="3"/>
      <c r="H119" s="3"/>
      <c r="I119" s="3"/>
    </row>
    <row r="120" spans="2:9" ht="15.75" customHeight="1">
      <c r="B120" s="3"/>
      <c r="C120" s="3"/>
      <c r="D120" s="3"/>
      <c r="E120" s="101" t="s">
        <v>178</v>
      </c>
      <c r="F120" s="102" t="s">
        <v>179</v>
      </c>
      <c r="G120" s="103"/>
      <c r="H120" s="104"/>
      <c r="I120" s="3"/>
    </row>
    <row r="121" spans="2:9" ht="15.75" customHeight="1">
      <c r="B121" s="3"/>
      <c r="C121" s="3"/>
      <c r="D121" s="3"/>
      <c r="E121" s="101" t="s">
        <v>180</v>
      </c>
      <c r="F121" s="105">
        <v>0.12</v>
      </c>
      <c r="G121" s="102" t="s">
        <v>181</v>
      </c>
      <c r="H121" s="104"/>
      <c r="I121" s="3"/>
    </row>
    <row r="122" spans="2:9" ht="15.75" customHeight="1">
      <c r="B122" s="3"/>
      <c r="C122" s="3"/>
      <c r="D122" s="3"/>
      <c r="E122" s="101" t="s">
        <v>182</v>
      </c>
      <c r="F122" s="106">
        <v>9.4999999999999998E-3</v>
      </c>
      <c r="G122" s="102" t="s">
        <v>183</v>
      </c>
      <c r="H122" s="104"/>
      <c r="I122" s="3"/>
    </row>
    <row r="123" spans="2:9" ht="15.75" customHeight="1">
      <c r="B123" s="3"/>
      <c r="C123" s="3"/>
      <c r="D123" s="3"/>
      <c r="E123" s="101" t="s">
        <v>184</v>
      </c>
      <c r="F123" s="107" t="s">
        <v>185</v>
      </c>
      <c r="G123" s="102" t="s">
        <v>186</v>
      </c>
      <c r="H123" s="104"/>
      <c r="I123" s="3"/>
    </row>
    <row r="124" spans="2:9" ht="15.75" customHeight="1">
      <c r="B124" s="3"/>
      <c r="C124" s="3"/>
      <c r="D124" s="3"/>
      <c r="E124" s="101" t="s">
        <v>187</v>
      </c>
      <c r="F124" s="108">
        <v>1.028</v>
      </c>
      <c r="G124" s="102" t="s">
        <v>188</v>
      </c>
      <c r="H124" s="109">
        <v>0.12</v>
      </c>
      <c r="I124" s="3"/>
    </row>
    <row r="125" spans="2:9" ht="15.75" customHeight="1">
      <c r="B125" s="3"/>
      <c r="C125" s="3"/>
      <c r="D125" s="3"/>
      <c r="E125" s="3"/>
      <c r="F125" s="3"/>
      <c r="G125" s="3"/>
      <c r="H125" s="3"/>
      <c r="I125" s="3"/>
    </row>
    <row r="126" spans="2:9" ht="15.75" customHeight="1"/>
    <row r="127" spans="2:9" ht="15.75" customHeight="1"/>
    <row r="128" spans="2:9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G80:H80"/>
    <mergeCell ref="G81:H81"/>
    <mergeCell ref="B50:C50"/>
    <mergeCell ref="D31:E31"/>
    <mergeCell ref="F31:G31"/>
    <mergeCell ref="H31:I31"/>
    <mergeCell ref="D49:E49"/>
    <mergeCell ref="F49:G49"/>
    <mergeCell ref="D50:E50"/>
    <mergeCell ref="F50:G50"/>
    <mergeCell ref="H50:I50"/>
    <mergeCell ref="B52:I52"/>
    <mergeCell ref="F48:G48"/>
    <mergeCell ref="H48:I48"/>
    <mergeCell ref="B49:C49"/>
    <mergeCell ref="H49:I49"/>
    <mergeCell ref="B54:H54"/>
    <mergeCell ref="B66:H66"/>
    <mergeCell ref="B78:E78"/>
    <mergeCell ref="G78:I78"/>
    <mergeCell ref="G79:H79"/>
    <mergeCell ref="B48:C48"/>
    <mergeCell ref="D48:E48"/>
    <mergeCell ref="B3:I3"/>
    <mergeCell ref="B5:I5"/>
    <mergeCell ref="B12:E12"/>
    <mergeCell ref="D14:E14"/>
    <mergeCell ref="F14:G14"/>
    <mergeCell ref="H14:I14"/>
    <mergeCell ref="B106:C106"/>
    <mergeCell ref="D106:E106"/>
    <mergeCell ref="F106:G106"/>
    <mergeCell ref="H106:I106"/>
    <mergeCell ref="B118:I118"/>
    <mergeCell ref="B114:D114"/>
    <mergeCell ref="B115:D115"/>
    <mergeCell ref="B116:D116"/>
    <mergeCell ref="B107:C107"/>
    <mergeCell ref="D107:E107"/>
    <mergeCell ref="F107:G107"/>
    <mergeCell ref="H107:I107"/>
    <mergeCell ref="B109:I109"/>
    <mergeCell ref="B112:D112"/>
    <mergeCell ref="B113:D113"/>
    <mergeCell ref="I87:I93"/>
    <mergeCell ref="B93:E93"/>
    <mergeCell ref="H94:I102"/>
    <mergeCell ref="B105:C105"/>
    <mergeCell ref="D105:E105"/>
    <mergeCell ref="F105:G105"/>
    <mergeCell ref="H105:I10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Financiera</vt:lpstr>
      <vt:lpstr>Viabilidad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Tunarrosa</dc:creator>
  <cp:lastModifiedBy>Eliana Tunarrosa</cp:lastModifiedBy>
  <dcterms:created xsi:type="dcterms:W3CDTF">2015-06-05T18:19:34Z</dcterms:created>
  <dcterms:modified xsi:type="dcterms:W3CDTF">2026-04-06T23:48:32Z</dcterms:modified>
</cp:coreProperties>
</file>